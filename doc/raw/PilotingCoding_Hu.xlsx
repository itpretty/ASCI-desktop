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cp4715/Downloads/Collaborations/cost-psych_gitee/Articles_Analyses/piloting/"/>
    </mc:Choice>
  </mc:AlternateContent>
  <xr:revisionPtr revIDLastSave="0" documentId="13_ncr:1_{A674195D-140A-1742-8735-8898145E43F8}" xr6:coauthVersionLast="47" xr6:coauthVersionMax="47" xr10:uidLastSave="{00000000-0000-0000-0000-000000000000}"/>
  <bookViews>
    <workbookView xWindow="0" yWindow="500" windowWidth="28800" windowHeight="16940" xr2:uid="{00000000-000D-0000-FFFF-FFFF00000000}"/>
  </bookViews>
  <sheets>
    <sheet name="PilotingCoding_H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9" i="1" l="1"/>
  <c r="X38" i="1"/>
  <c r="W44" i="1"/>
  <c r="W40" i="1"/>
  <c r="W28" i="1"/>
  <c r="W27" i="1"/>
  <c r="W26" i="1"/>
  <c r="W25" i="1"/>
  <c r="W24" i="1"/>
  <c r="Y89" i="1"/>
  <c r="AA65" i="1"/>
  <c r="AA39" i="1"/>
  <c r="AC49" i="1"/>
</calcChain>
</file>

<file path=xl/sharedStrings.xml><?xml version="1.0" encoding="utf-8"?>
<sst xmlns="http://schemas.openxmlformats.org/spreadsheetml/2006/main" count="1317" uniqueCount="345">
  <si>
    <t>Article_ID</t>
  </si>
  <si>
    <t>Study_ID</t>
  </si>
  <si>
    <t>Country/Region</t>
  </si>
  <si>
    <t>City</t>
  </si>
  <si>
    <t>Study_Type</t>
  </si>
  <si>
    <t>Study_SubType</t>
  </si>
  <si>
    <t>Recruit_Method</t>
  </si>
  <si>
    <t>Platform_online</t>
  </si>
  <si>
    <t>Samples</t>
  </si>
  <si>
    <t>Diagnosis_Subjects</t>
  </si>
  <si>
    <t>Number_Subjects_Total</t>
  </si>
  <si>
    <t>Number_Subjects_Valid</t>
  </si>
  <si>
    <t>Mean_Age_Subjects (yrs)</t>
  </si>
  <si>
    <t>Number_Sessions</t>
  </si>
  <si>
    <t>Cost/Session</t>
  </si>
  <si>
    <t>Quests_Survey</t>
  </si>
  <si>
    <t>Duration/Sess</t>
  </si>
  <si>
    <t>Equipments</t>
  </si>
  <si>
    <t>Duration-Equip</t>
  </si>
  <si>
    <t>Total_Cost</t>
  </si>
  <si>
    <t>Currency</t>
  </si>
  <si>
    <t>Notes</t>
  </si>
  <si>
    <t>151 (Catapano_2021_JPSP)</t>
  </si>
  <si>
    <t>Exp</t>
  </si>
  <si>
    <t>Behavioral-Social</t>
  </si>
  <si>
    <t>NA</t>
  </si>
  <si>
    <t>2a</t>
  </si>
  <si>
    <t>US</t>
  </si>
  <si>
    <t>online</t>
  </si>
  <si>
    <t>Survey</t>
  </si>
  <si>
    <t>Online</t>
  </si>
  <si>
    <t>Mturk</t>
  </si>
  <si>
    <t>Sample 1</t>
  </si>
  <si>
    <t>missing</t>
  </si>
  <si>
    <t>~10</t>
  </si>
  <si>
    <t>?</t>
  </si>
  <si>
    <t>2b</t>
  </si>
  <si>
    <t>onine</t>
  </si>
  <si>
    <t>In-Lab</t>
  </si>
  <si>
    <t>UK</t>
  </si>
  <si>
    <t>Prolific</t>
  </si>
  <si>
    <t>152 (McLean_2001_JCCP)</t>
  </si>
  <si>
    <t>Canada</t>
  </si>
  <si>
    <t>Vancouver</t>
  </si>
  <si>
    <t>Intervention-Behavioral</t>
  </si>
  <si>
    <t>physician referral and advertisements</t>
  </si>
  <si>
    <t>OCD(DSM-IV)</t>
  </si>
  <si>
    <t>multiple scales</t>
  </si>
  <si>
    <t>2.5 hr</t>
  </si>
  <si>
    <t>Should be excluded?</t>
  </si>
  <si>
    <t>153 (Grilo_2011_JCCP)</t>
  </si>
  <si>
    <t>New Haven</t>
  </si>
  <si>
    <t>Intervention-RCT</t>
  </si>
  <si>
    <t>print advertisements</t>
  </si>
  <si>
    <t>BED (DSM-IV)</t>
  </si>
  <si>
    <t>154 (Zhao_2020_Psychophysiol)</t>
  </si>
  <si>
    <t>China</t>
  </si>
  <si>
    <t>Suzhou</t>
  </si>
  <si>
    <t>Brain</t>
  </si>
  <si>
    <t>&gt; 1hr</t>
  </si>
  <si>
    <t>Neuroscan Synamps; 27-inch LCD monitor; Presentation software; loudspeakers (HiVi X3); ‚ÄúScan‚Äù software (version 4.5)</t>
  </si>
  <si>
    <t>155 (Sulikowski_2022_EHB)</t>
  </si>
  <si>
    <t>Australia</t>
  </si>
  <si>
    <t>Sydney</t>
  </si>
  <si>
    <t>Behavioral-Cog</t>
  </si>
  <si>
    <t>psychology course</t>
  </si>
  <si>
    <t>17-in. iMac computer;  Superlab v4.0.3c; SPSS v20</t>
  </si>
  <si>
    <t>Bathurst</t>
  </si>
  <si>
    <t>Inquisit Web</t>
  </si>
  <si>
    <t>course credit</t>
  </si>
  <si>
    <t>Inquisit Web v3.0.6</t>
  </si>
  <si>
    <t>156 (Plumert_1996_DP)</t>
  </si>
  <si>
    <t>Iowa City</t>
  </si>
  <si>
    <t>child subject registry</t>
  </si>
  <si>
    <t>32 parent-child pair</t>
  </si>
  <si>
    <t>gift</t>
  </si>
  <si>
    <t>Panasonic camcorder;</t>
  </si>
  <si>
    <t>~4</t>
  </si>
  <si>
    <t>157 (Cicevic_2016_CHB)</t>
  </si>
  <si>
    <t>Serbia</t>
  </si>
  <si>
    <t>Belgrade</t>
  </si>
  <si>
    <t>Cross-Sectional</t>
  </si>
  <si>
    <t>~11</t>
  </si>
  <si>
    <t>"voluntarily" means 0?</t>
  </si>
  <si>
    <t>158 (Lim_1996_IJPsychiophysio)</t>
  </si>
  <si>
    <t>Multimodal</t>
  </si>
  <si>
    <t xml:space="preserve">headphone; 32 channel PC based system for both EEG and skin conductance level (SCL) </t>
  </si>
  <si>
    <t>159 (Luo_2021_CHB)</t>
  </si>
  <si>
    <t>snowball sampling technique via wechat</t>
  </si>
  <si>
    <t>Sojump</t>
  </si>
  <si>
    <t>~30</t>
  </si>
  <si>
    <t>2 ~ 5 RMB</t>
  </si>
  <si>
    <t>~26</t>
  </si>
  <si>
    <t>160 (Burton_2016_JAACAP)</t>
  </si>
  <si>
    <t>Toronto</t>
  </si>
  <si>
    <t>Recruited via larger project</t>
  </si>
  <si>
    <t>OCD, ADHD, anxiety, autism spectrum disorder (ASD), allergies, asthma, tics/Tourette‚Äôs, schizophrenia/bipolar, depression, concussion, learning difficulties, gastrointestinal problems, headache, trauma, and seizures</t>
  </si>
  <si>
    <t>gift (&lt; $1)</t>
  </si>
  <si>
    <t>0.5 hr</t>
  </si>
  <si>
    <t>USD</t>
  </si>
  <si>
    <t>ÊéíÈô§Ôºü</t>
  </si>
  <si>
    <t>161 (Henderson-King_1996_JPSP)</t>
  </si>
  <si>
    <t>Chicago</t>
  </si>
  <si>
    <t>psy course</t>
  </si>
  <si>
    <t>Sanyo computers</t>
  </si>
  <si>
    <t>162 (Low_2021_Autism)</t>
  </si>
  <si>
    <t>Luang Prabang</t>
  </si>
  <si>
    <t xml:space="preserve">local information and communication technologies (ICT) center </t>
  </si>
  <si>
    <t xml:space="preserve"> ~ 77</t>
  </si>
  <si>
    <t>5 days</t>
  </si>
  <si>
    <t>computer room</t>
  </si>
  <si>
    <t>163 (Green_2001_JApP)</t>
  </si>
  <si>
    <t>Advertisements</t>
  </si>
  <si>
    <t>$25</t>
  </si>
  <si>
    <t>~ 1 hour?</t>
  </si>
  <si>
    <t>164 (Karsh_2016_JEPG)</t>
  </si>
  <si>
    <t>1a</t>
  </si>
  <si>
    <t>Israel</t>
  </si>
  <si>
    <t>Haifa</t>
  </si>
  <si>
    <t>undergraduates</t>
  </si>
  <si>
    <t>course credit or 20 Shekels (~$6)</t>
  </si>
  <si>
    <t>computer, keyboard</t>
  </si>
  <si>
    <t>1b</t>
  </si>
  <si>
    <t>1c</t>
  </si>
  <si>
    <t>165 (Seufert_2016_CHB)</t>
  </si>
  <si>
    <t>Germany</t>
  </si>
  <si>
    <t>facebook</t>
  </si>
  <si>
    <t>0?</t>
  </si>
  <si>
    <t>166 (Stoel_2003_LID)</t>
  </si>
  <si>
    <t>NL</t>
  </si>
  <si>
    <t>Amsterdam</t>
  </si>
  <si>
    <t>secondary-data</t>
  </si>
  <si>
    <t>167 (Harkness_2001_JAbP)</t>
  </si>
  <si>
    <t>newspaper advertisement</t>
  </si>
  <si>
    <t>Depression</t>
  </si>
  <si>
    <t>&gt; 3hr</t>
  </si>
  <si>
    <t>168 (Abdullah_2016_CHB)</t>
  </si>
  <si>
    <t>north England</t>
  </si>
  <si>
    <t>within a CS department</t>
  </si>
  <si>
    <t>~ 28</t>
  </si>
  <si>
    <t>~ 0.25 hr</t>
  </si>
  <si>
    <t>169 (Echegaray_2020_Psychophysiol)</t>
  </si>
  <si>
    <t>Spain</t>
  </si>
  <si>
    <t>Madrid</t>
  </si>
  <si>
    <t>from an ongoing clinical project (TEMPACOR)</t>
  </si>
  <si>
    <t>Healthy</t>
  </si>
  <si>
    <t>~ 50</t>
  </si>
  <si>
    <t>MEG, 306 channels whole-head (VectorView)</t>
  </si>
  <si>
    <t>40 min</t>
  </si>
  <si>
    <t>170 (Martin_2022_JEPG)</t>
  </si>
  <si>
    <t>Boston</t>
  </si>
  <si>
    <t>&gt;=26</t>
  </si>
  <si>
    <t>Sample 2</t>
  </si>
  <si>
    <t>&lt;= $2</t>
  </si>
  <si>
    <t>&gt;=24</t>
  </si>
  <si>
    <t>171 (Kring_1996_JAbP)</t>
  </si>
  <si>
    <t>New York City, Bronx</t>
  </si>
  <si>
    <t>Biol</t>
  </si>
  <si>
    <t>research units at medical center/hospital</t>
  </si>
  <si>
    <t>schizophrenic</t>
  </si>
  <si>
    <t>2 ~ 2.5 hrs</t>
  </si>
  <si>
    <t>a Coulbourn Instruments polygraph; IBM computer; Facial Expression Coding System (FACES)</t>
  </si>
  <si>
    <t>2 ÔΩû 2.5 hours</t>
  </si>
  <si>
    <t>Stony Brook</t>
  </si>
  <si>
    <t>non-professional staff at University</t>
  </si>
  <si>
    <t>172 (Puranik_2021_JApP)</t>
  </si>
  <si>
    <t>Midwestern U.S.</t>
  </si>
  <si>
    <t>ESM</t>
  </si>
  <si>
    <t>email to employees of a Midwestern U.S. university and other local organizations &amp; snowball</t>
  </si>
  <si>
    <t>~$30</t>
  </si>
  <si>
    <t>15 working day are fully paid, average days of data were 10.3 per person</t>
  </si>
  <si>
    <t>173 (Ansari_2011_BiolPsychol)</t>
  </si>
  <si>
    <t>London</t>
  </si>
  <si>
    <t>university subject pool</t>
  </si>
  <si>
    <t>high and low anxious</t>
  </si>
  <si>
    <t>~ 20</t>
  </si>
  <si>
    <t>3 hours</t>
  </si>
  <si>
    <t>EEG, BrainAmps; PC</t>
  </si>
  <si>
    <t>GBP</t>
  </si>
  <si>
    <t>174 (Carey_2006_JCCP)</t>
  </si>
  <si>
    <t>a northeastern university</t>
  </si>
  <si>
    <t>students</t>
  </si>
  <si>
    <t>Drinking related questions</t>
  </si>
  <si>
    <t>175 (Siffredi_2021_DevSci)</t>
  </si>
  <si>
    <t>Melbourne</t>
  </si>
  <si>
    <t>28 (CD) + 30 (TDC)</t>
  </si>
  <si>
    <t>20 (CD)+29 (TDC)</t>
  </si>
  <si>
    <t>MRI, Siemens 3T Trio scanner</t>
  </si>
  <si>
    <t>176 (Yang_2016_JApP)</t>
  </si>
  <si>
    <t>North China</t>
  </si>
  <si>
    <t>emails to full-time employees in a medium-sized technology company</t>
  </si>
  <si>
    <t>177 (Savicki_1996_CHB)</t>
  </si>
  <si>
    <t>Monmouth, OR</t>
  </si>
  <si>
    <t>multiple</t>
  </si>
  <si>
    <t>~ 23</t>
  </si>
  <si>
    <t>1 hour handson session and 4-week group interaction period</t>
  </si>
  <si>
    <t>computer</t>
  </si>
  <si>
    <t>178 (Burling_2001_JCCP)</t>
  </si>
  <si>
    <t>Palo Alto, CA</t>
  </si>
  <si>
    <t>from a residential rehabilitation program</t>
  </si>
  <si>
    <t>substance dependence disorder by DSM-III-R</t>
  </si>
  <si>
    <t>~ 40</t>
  </si>
  <si>
    <t>$50 per interview at 1,3,6,12 months postdischarge</t>
  </si>
  <si>
    <t>Vitalograph BreathCO; Alco-Sensor IV; ruine samples (PharmChem Laboratories, Inc.); enzyme multiplied immunoassay technique (EMIT) with confirmation by gas chromatography (GO)</t>
  </si>
  <si>
    <t>179 (Said_2011_PsychSci)</t>
  </si>
  <si>
    <t>Facegen; computer</t>
  </si>
  <si>
    <t>180 (Walker_2016_JPSP)</t>
  </si>
  <si>
    <t>SoSci Panel</t>
  </si>
  <si>
    <t xml:space="preserve"> &gt; 30*3</t>
  </si>
  <si>
    <t>Europe</t>
  </si>
  <si>
    <t>chance to win 15 Euro</t>
  </si>
  <si>
    <t>Radboud Face Database</t>
  </si>
  <si>
    <t>&lt;= 3015</t>
  </si>
  <si>
    <t>EUR</t>
  </si>
  <si>
    <t>$ 0.25 per trial, 12 trials in total</t>
  </si>
  <si>
    <t>&lt;= 3200</t>
  </si>
  <si>
    <t>$0.50</t>
  </si>
  <si>
    <t>chance to win 10 Euro</t>
  </si>
  <si>
    <t>&lt;= 650</t>
  </si>
  <si>
    <t>$0.60</t>
  </si>
  <si>
    <t>181 (Hitchcock_2021_JAACAP)</t>
  </si>
  <si>
    <t>should be excluded?</t>
  </si>
  <si>
    <t>182 (Bosworth_2021_DevSci)</t>
  </si>
  <si>
    <t>San Diego</t>
  </si>
  <si>
    <t>Internet ads</t>
  </si>
  <si>
    <t>sign language usage</t>
  </si>
  <si>
    <t>a small toy and monetary compensation</t>
  </si>
  <si>
    <t>30 minutes</t>
  </si>
  <si>
    <t>HP p1230 20‚Äù monitor; Tobii X120 eye traker; Tobii Studio Pro (present stimuli); Dell Precision T5500 Workstation</t>
  </si>
  <si>
    <t>183 (Benham_2006_JPSP)</t>
  </si>
  <si>
    <t>undergraduate psychology students</t>
  </si>
  <si>
    <t>extra credits</t>
  </si>
  <si>
    <t>&gt; 20</t>
  </si>
  <si>
    <t>184 (Rnic_2022_BiolPsychol)</t>
  </si>
  <si>
    <t>British Columbia</t>
  </si>
  <si>
    <t>adverstisements</t>
  </si>
  <si>
    <t>8 saliva samples using Sarstedt Salivettes per subject, Immuno-Biological Laboratories</t>
  </si>
  <si>
    <t>CAD</t>
  </si>
  <si>
    <t>185 (Greenaway_2021_Emotion)</t>
  </si>
  <si>
    <t>$1</t>
  </si>
  <si>
    <t>$189</t>
  </si>
  <si>
    <t>$211</t>
  </si>
  <si>
    <t>first year psychology course or advert</t>
  </si>
  <si>
    <t>course credit or AU$10</t>
  </si>
  <si>
    <t>&gt;24</t>
  </si>
  <si>
    <t>&lt;=2000</t>
  </si>
  <si>
    <t>AUD</t>
  </si>
  <si>
    <t>3a</t>
  </si>
  <si>
    <t>&gt;20</t>
  </si>
  <si>
    <t>3b</t>
  </si>
  <si>
    <t>186 (Hofman_2021_OBHDP)</t>
  </si>
  <si>
    <t>non-empirical</t>
  </si>
  <si>
    <t>187 (Zambrano_2022_JEduP)</t>
  </si>
  <si>
    <t>Interview</t>
  </si>
  <si>
    <t>from high school</t>
  </si>
  <si>
    <t>median=16</t>
  </si>
  <si>
    <t>~2 hours</t>
  </si>
  <si>
    <t>188 (Harrison_1996_CHB)</t>
  </si>
  <si>
    <t>emails</t>
  </si>
  <si>
    <t>&gt;12</t>
  </si>
  <si>
    <t>189 (Gollan_2011_PsychSci)</t>
  </si>
  <si>
    <t>San Diego, CA</t>
  </si>
  <si>
    <t>University Research Center &amp; community</t>
  </si>
  <si>
    <t>Cognitively intact</t>
  </si>
  <si>
    <t>MacBook Pro; PsyScope 1.2.5</t>
  </si>
  <si>
    <t>student in UCSD</t>
  </si>
  <si>
    <t>190 (Mourgues_2016_LID)</t>
  </si>
  <si>
    <t>North of England</t>
  </si>
  <si>
    <t>recruited through the local education authority</t>
  </si>
  <si>
    <t>3 hour in 2008</t>
  </si>
  <si>
    <t>191 (Dassanayake_2016_IJPsychophysiol)</t>
  </si>
  <si>
    <t>Newcastle</t>
  </si>
  <si>
    <t>university undergraduates</t>
  </si>
  <si>
    <t xml:space="preserve">Presentation (Neurobehavioral Systems, CA, USA); 32-channel Neuroscan Quickcap; SCAN software Version 4.3; Statistical Package of Social Sciences (SPSS‚Ñ¢) version 16.0. </t>
  </si>
  <si>
    <t>90 minutes</t>
  </si>
  <si>
    <t>192 (Dick_2001_JAbPsy)</t>
  </si>
  <si>
    <t>193 (Lohr_1996_JAnxDisord)</t>
  </si>
  <si>
    <t>case-study</t>
  </si>
  <si>
    <t>should be excluded</t>
  </si>
  <si>
    <t>194 (Miyake_2001_JEPG)</t>
  </si>
  <si>
    <t>195 (Browne_2021_DevPsychol)</t>
  </si>
  <si>
    <t>~ 57</t>
  </si>
  <si>
    <t>Qualtrics</t>
  </si>
  <si>
    <t>196 (Werner_1996_JAdolHealth)</t>
  </si>
  <si>
    <t>Nashville, TN</t>
  </si>
  <si>
    <t>campus</t>
  </si>
  <si>
    <t>$10 for follow-up</t>
  </si>
  <si>
    <t>197 (Barasch_2016_PsycSci)</t>
  </si>
  <si>
    <t>community event</t>
  </si>
  <si>
    <t>video recorder</t>
  </si>
  <si>
    <t>$13</t>
  </si>
  <si>
    <t>1 hour</t>
  </si>
  <si>
    <t>on-campus activities</t>
  </si>
  <si>
    <t>~ 4</t>
  </si>
  <si>
    <t>$0.80</t>
  </si>
  <si>
    <t>on campus</t>
  </si>
  <si>
    <t>$1.50</t>
  </si>
  <si>
    <t>198 (Harvey_2016_JAbP)</t>
  </si>
  <si>
    <t>Amherst, CA</t>
  </si>
  <si>
    <t>mail (via state birth records)</t>
  </si>
  <si>
    <t>existing data</t>
  </si>
  <si>
    <t>199 (Hu_2016_OBHDP)</t>
  </si>
  <si>
    <t>CN</t>
  </si>
  <si>
    <t>a major city in southern China</t>
  </si>
  <si>
    <t>a large real estate company in China</t>
  </si>
  <si>
    <t>200; 150; 139</t>
  </si>
  <si>
    <t>19; 12; 1</t>
  </si>
  <si>
    <t>200 (Murty_2016_JEPG)</t>
  </si>
  <si>
    <t xml:space="preserve">New York City </t>
  </si>
  <si>
    <t>from New York University and the surrounding New York City community</t>
  </si>
  <si>
    <t>10.1 - 15</t>
  </si>
  <si>
    <t>$7 - $ 9</t>
  </si>
  <si>
    <t>Longitudinal</t>
  </si>
  <si>
    <t>Total_Cost_Upper</t>
  </si>
  <si>
    <t>Total_Cost_Lower</t>
  </si>
  <si>
    <t>approx</t>
  </si>
  <si>
    <t>lower = 2 * 1167; upper=5*1989</t>
  </si>
  <si>
    <t>计算方式: 181*0.25*12</t>
  </si>
  <si>
    <t>SD_Age_Subjects (yrs)</t>
  </si>
  <si>
    <t>Min_Age_Subjects (yrs)</t>
  </si>
  <si>
    <t>Max_Age_Subjects (yrs)</t>
  </si>
  <si>
    <t>&gt;45</t>
  </si>
  <si>
    <t>&lt;18</t>
  </si>
  <si>
    <t>24-week session + 2 followups</t>
  </si>
  <si>
    <t>2 times/day in 3 weeks</t>
  </si>
  <si>
    <t>2 times/day *15 workdays</t>
  </si>
  <si>
    <t>1 training + 4 weeks</t>
  </si>
  <si>
    <t>9-week session + 4 follow-ups</t>
  </si>
  <si>
    <t>Lao PDR</t>
  </si>
  <si>
    <t>UK/US/Canada/Australia</t>
  </si>
  <si>
    <t>86,106,99</t>
  </si>
  <si>
    <t>100 for completing follow-ups</t>
  </si>
  <si>
    <t>99 * 100</t>
  </si>
  <si>
    <t>valid N are those including in calculating cost</t>
  </si>
  <si>
    <t>Cohort data</t>
  </si>
  <si>
    <t>ILS</t>
  </si>
  <si>
    <t>1 intervention + 3 followups</t>
  </si>
  <si>
    <t>course credit for first time (screening) through 1 month followup, $20 for 6 month follow-up &amp; $25 for 12-month followup</t>
  </si>
  <si>
    <t>依据图1中的数据与20/人(2nd followup) 25/2 (3nd followup): 20*(69 + 62 + 66 +66 +68 +63) + 25 * (72 + 68 + 68 + 59 + 64 + 65)</t>
  </si>
  <si>
    <t>依据表3中第一部分4个时间点中每个时间点的n（由脚注提供): 50*(50 + 49 + 49+48) + 50 *(49 + 49+47+46) + 50* (49+47+48+47) + 50* (47+45+46+47)</t>
  </si>
  <si>
    <t>561*25</t>
  </si>
  <si>
    <t>12-week treatment + 1 follow-up</t>
  </si>
  <si>
    <t>1 training + 1 follow-up</t>
  </si>
  <si>
    <t>CNY</t>
  </si>
  <si>
    <t>$10.1 - 15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</si>
</sst>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"/>
  <sheetViews>
    <sheetView tabSelected="1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R21" sqref="R21"/>
    </sheetView>
  </sheetViews>
  <sheetFormatPr baseColWidth="10" defaultRowHeight="16" x14ac:dyDescent="0.2"/>
  <cols>
    <col min="1" max="1" width="22.6640625" style="1" customWidth="1"/>
    <col min="2" max="2" width="10.83203125" style="1"/>
    <col min="3" max="3" width="23.83203125" customWidth="1"/>
    <col min="6" max="6" width="20.33203125" customWidth="1"/>
  </cols>
  <sheetData>
    <row r="1" spans="1:2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318</v>
      </c>
      <c r="O1" s="1" t="s">
        <v>319</v>
      </c>
      <c r="P1" s="1" t="s">
        <v>320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314</v>
      </c>
      <c r="Y1" s="1" t="s">
        <v>313</v>
      </c>
      <c r="Z1" s="1" t="s">
        <v>20</v>
      </c>
      <c r="AA1" s="1" t="s">
        <v>21</v>
      </c>
    </row>
    <row r="2" spans="1:27" x14ac:dyDescent="0.2">
      <c r="A2" s="1" t="s">
        <v>22</v>
      </c>
      <c r="B2" s="1">
        <v>1</v>
      </c>
      <c r="E2" s="3" t="s">
        <v>131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</row>
    <row r="3" spans="1:27" x14ac:dyDescent="0.2">
      <c r="A3" s="1" t="s">
        <v>22</v>
      </c>
      <c r="B3" s="1" t="s">
        <v>26</v>
      </c>
      <c r="C3" t="s">
        <v>27</v>
      </c>
      <c r="D3" t="s">
        <v>28</v>
      </c>
      <c r="E3" s="3" t="s">
        <v>29</v>
      </c>
      <c r="F3" s="2" t="s">
        <v>81</v>
      </c>
      <c r="G3" t="s">
        <v>30</v>
      </c>
      <c r="H3" t="s">
        <v>31</v>
      </c>
      <c r="I3" t="s">
        <v>32</v>
      </c>
      <c r="J3" t="s">
        <v>25</v>
      </c>
      <c r="K3">
        <v>401</v>
      </c>
      <c r="L3">
        <v>354</v>
      </c>
      <c r="M3">
        <v>34.89</v>
      </c>
      <c r="Q3">
        <v>1</v>
      </c>
      <c r="R3" t="s">
        <v>33</v>
      </c>
      <c r="S3" t="s">
        <v>34</v>
      </c>
      <c r="T3" t="s">
        <v>33</v>
      </c>
      <c r="U3" t="s">
        <v>25</v>
      </c>
      <c r="V3" t="s">
        <v>25</v>
      </c>
      <c r="W3" t="s">
        <v>35</v>
      </c>
      <c r="Z3" t="s">
        <v>99</v>
      </c>
    </row>
    <row r="4" spans="1:27" x14ac:dyDescent="0.2">
      <c r="A4" s="1" t="s">
        <v>22</v>
      </c>
      <c r="B4" s="1" t="s">
        <v>36</v>
      </c>
      <c r="C4" t="s">
        <v>27</v>
      </c>
      <c r="D4" t="s">
        <v>37</v>
      </c>
      <c r="E4" s="3" t="s">
        <v>29</v>
      </c>
      <c r="F4" s="2" t="s">
        <v>81</v>
      </c>
      <c r="G4" t="s">
        <v>30</v>
      </c>
      <c r="H4" t="s">
        <v>31</v>
      </c>
      <c r="I4" t="s">
        <v>32</v>
      </c>
      <c r="J4" t="s">
        <v>25</v>
      </c>
      <c r="K4">
        <v>400</v>
      </c>
      <c r="L4">
        <v>355</v>
      </c>
      <c r="M4">
        <v>36.33</v>
      </c>
      <c r="Q4">
        <v>1</v>
      </c>
      <c r="R4" t="s">
        <v>33</v>
      </c>
      <c r="S4" t="s">
        <v>34</v>
      </c>
      <c r="T4" t="s">
        <v>33</v>
      </c>
      <c r="U4" t="s">
        <v>25</v>
      </c>
      <c r="V4" t="s">
        <v>25</v>
      </c>
      <c r="W4" t="s">
        <v>35</v>
      </c>
      <c r="Z4" t="s">
        <v>99</v>
      </c>
    </row>
    <row r="5" spans="1:27" x14ac:dyDescent="0.2">
      <c r="A5" s="1" t="s">
        <v>22</v>
      </c>
      <c r="B5" s="1">
        <v>3</v>
      </c>
      <c r="C5" t="s">
        <v>35</v>
      </c>
      <c r="D5" t="s">
        <v>33</v>
      </c>
      <c r="E5" t="s">
        <v>23</v>
      </c>
      <c r="F5" t="s">
        <v>24</v>
      </c>
      <c r="G5" t="s">
        <v>38</v>
      </c>
      <c r="H5" t="s">
        <v>25</v>
      </c>
      <c r="I5" t="s">
        <v>32</v>
      </c>
      <c r="J5" t="s">
        <v>25</v>
      </c>
      <c r="K5">
        <v>240</v>
      </c>
      <c r="L5">
        <v>206</v>
      </c>
      <c r="M5">
        <v>24.83</v>
      </c>
      <c r="Q5">
        <v>1</v>
      </c>
      <c r="R5" t="s">
        <v>33</v>
      </c>
      <c r="S5" t="s">
        <v>34</v>
      </c>
      <c r="T5" t="s">
        <v>33</v>
      </c>
      <c r="U5" t="s">
        <v>25</v>
      </c>
      <c r="V5" t="s">
        <v>25</v>
      </c>
      <c r="W5" t="s">
        <v>35</v>
      </c>
      <c r="Z5" t="s">
        <v>99</v>
      </c>
    </row>
    <row r="6" spans="1:27" x14ac:dyDescent="0.2">
      <c r="A6" s="1" t="s">
        <v>22</v>
      </c>
      <c r="B6" s="1">
        <v>4</v>
      </c>
      <c r="C6" s="3" t="s">
        <v>27</v>
      </c>
      <c r="D6" t="s">
        <v>28</v>
      </c>
      <c r="E6" t="s">
        <v>23</v>
      </c>
      <c r="F6" t="s">
        <v>24</v>
      </c>
      <c r="G6" t="s">
        <v>30</v>
      </c>
      <c r="H6" t="s">
        <v>40</v>
      </c>
      <c r="I6" t="s">
        <v>32</v>
      </c>
      <c r="J6" t="s">
        <v>25</v>
      </c>
      <c r="K6">
        <v>1300</v>
      </c>
      <c r="L6">
        <v>1141</v>
      </c>
      <c r="M6">
        <v>34.380000000000003</v>
      </c>
      <c r="Q6">
        <v>1</v>
      </c>
      <c r="R6" t="s">
        <v>33</v>
      </c>
      <c r="S6" t="s">
        <v>34</v>
      </c>
      <c r="T6" t="s">
        <v>33</v>
      </c>
      <c r="U6" t="s">
        <v>25</v>
      </c>
      <c r="V6" t="s">
        <v>25</v>
      </c>
      <c r="W6" t="s">
        <v>35</v>
      </c>
    </row>
    <row r="7" spans="1:27" x14ac:dyDescent="0.2">
      <c r="A7" s="1" t="s">
        <v>22</v>
      </c>
      <c r="B7" s="1">
        <v>5</v>
      </c>
      <c r="C7" t="s">
        <v>27</v>
      </c>
      <c r="D7" t="s">
        <v>28</v>
      </c>
      <c r="E7" t="s">
        <v>23</v>
      </c>
      <c r="F7" t="s">
        <v>24</v>
      </c>
      <c r="G7" t="s">
        <v>30</v>
      </c>
      <c r="H7" t="s">
        <v>31</v>
      </c>
      <c r="I7" t="s">
        <v>32</v>
      </c>
      <c r="J7" t="s">
        <v>25</v>
      </c>
      <c r="K7" s="3">
        <v>2000</v>
      </c>
      <c r="L7">
        <v>1701</v>
      </c>
      <c r="M7">
        <v>36.86</v>
      </c>
      <c r="Q7">
        <v>1</v>
      </c>
      <c r="R7" t="s">
        <v>33</v>
      </c>
      <c r="S7" t="s">
        <v>34</v>
      </c>
      <c r="T7" t="s">
        <v>33</v>
      </c>
      <c r="U7" t="s">
        <v>25</v>
      </c>
      <c r="V7" t="s">
        <v>25</v>
      </c>
      <c r="W7" t="s">
        <v>35</v>
      </c>
      <c r="Z7" t="s">
        <v>99</v>
      </c>
    </row>
    <row r="8" spans="1:27" x14ac:dyDescent="0.2">
      <c r="A8" s="1" t="s">
        <v>41</v>
      </c>
      <c r="B8" s="1">
        <v>1</v>
      </c>
      <c r="C8" t="s">
        <v>42</v>
      </c>
      <c r="D8" t="s">
        <v>43</v>
      </c>
      <c r="E8" t="s">
        <v>23</v>
      </c>
      <c r="F8" t="s">
        <v>52</v>
      </c>
      <c r="G8" t="s">
        <v>45</v>
      </c>
      <c r="H8" t="s">
        <v>25</v>
      </c>
      <c r="I8" t="s">
        <v>32</v>
      </c>
      <c r="J8" t="s">
        <v>46</v>
      </c>
      <c r="K8" s="3">
        <v>76</v>
      </c>
      <c r="L8">
        <v>63</v>
      </c>
      <c r="M8">
        <v>35</v>
      </c>
      <c r="Q8" s="3" t="s">
        <v>341</v>
      </c>
      <c r="R8" t="s">
        <v>33</v>
      </c>
      <c r="S8" t="s">
        <v>47</v>
      </c>
      <c r="T8" t="s">
        <v>48</v>
      </c>
      <c r="U8" t="s">
        <v>25</v>
      </c>
      <c r="V8" t="s">
        <v>25</v>
      </c>
      <c r="W8" t="s">
        <v>35</v>
      </c>
      <c r="AA8" t="s">
        <v>49</v>
      </c>
    </row>
    <row r="9" spans="1:27" x14ac:dyDescent="0.2">
      <c r="A9" s="1" t="s">
        <v>50</v>
      </c>
      <c r="B9" s="1">
        <v>1</v>
      </c>
      <c r="C9" t="s">
        <v>27</v>
      </c>
      <c r="D9" t="s">
        <v>51</v>
      </c>
      <c r="E9" t="s">
        <v>23</v>
      </c>
      <c r="F9" t="s">
        <v>52</v>
      </c>
      <c r="G9" t="s">
        <v>53</v>
      </c>
      <c r="H9" t="s">
        <v>25</v>
      </c>
      <c r="I9" t="s">
        <v>32</v>
      </c>
      <c r="J9" t="s">
        <v>54</v>
      </c>
      <c r="K9">
        <v>125</v>
      </c>
      <c r="L9" s="3" t="s">
        <v>330</v>
      </c>
      <c r="O9">
        <v>44.5</v>
      </c>
      <c r="P9">
        <v>45.2</v>
      </c>
      <c r="Q9" s="3" t="s">
        <v>323</v>
      </c>
      <c r="R9" s="3" t="s">
        <v>331</v>
      </c>
      <c r="S9" t="s">
        <v>47</v>
      </c>
      <c r="U9" t="s">
        <v>25</v>
      </c>
      <c r="V9" t="s">
        <v>25</v>
      </c>
      <c r="W9" t="s">
        <v>35</v>
      </c>
      <c r="X9">
        <v>9900</v>
      </c>
      <c r="Z9" t="s">
        <v>99</v>
      </c>
      <c r="AA9" t="s">
        <v>332</v>
      </c>
    </row>
    <row r="10" spans="1:27" x14ac:dyDescent="0.2">
      <c r="A10" s="1" t="s">
        <v>55</v>
      </c>
      <c r="B10" s="1">
        <v>1</v>
      </c>
      <c r="C10" t="s">
        <v>56</v>
      </c>
      <c r="D10" t="s">
        <v>57</v>
      </c>
      <c r="E10" t="s">
        <v>23</v>
      </c>
      <c r="F10" t="s">
        <v>58</v>
      </c>
      <c r="G10" t="s">
        <v>33</v>
      </c>
      <c r="H10" t="s">
        <v>25</v>
      </c>
      <c r="I10" t="s">
        <v>32</v>
      </c>
      <c r="J10" t="s">
        <v>25</v>
      </c>
      <c r="K10">
        <v>38</v>
      </c>
      <c r="L10">
        <v>38</v>
      </c>
      <c r="M10">
        <v>20.45</v>
      </c>
      <c r="Q10">
        <v>1</v>
      </c>
      <c r="R10" t="s">
        <v>33</v>
      </c>
      <c r="S10" t="s">
        <v>25</v>
      </c>
      <c r="T10" t="s">
        <v>59</v>
      </c>
      <c r="U10" t="s">
        <v>60</v>
      </c>
      <c r="V10" t="s">
        <v>33</v>
      </c>
      <c r="W10" t="s">
        <v>35</v>
      </c>
    </row>
    <row r="11" spans="1:27" x14ac:dyDescent="0.2">
      <c r="A11" s="1" t="s">
        <v>61</v>
      </c>
      <c r="B11" s="1">
        <v>1</v>
      </c>
      <c r="C11" t="s">
        <v>62</v>
      </c>
      <c r="D11" t="s">
        <v>63</v>
      </c>
      <c r="E11" t="s">
        <v>23</v>
      </c>
      <c r="F11" t="s">
        <v>64</v>
      </c>
      <c r="G11" t="s">
        <v>65</v>
      </c>
      <c r="H11" t="s">
        <v>25</v>
      </c>
      <c r="I11" t="s">
        <v>32</v>
      </c>
      <c r="J11" t="s">
        <v>25</v>
      </c>
      <c r="K11">
        <v>48</v>
      </c>
      <c r="L11">
        <v>48</v>
      </c>
      <c r="M11">
        <v>25.5</v>
      </c>
      <c r="Q11">
        <v>1</v>
      </c>
      <c r="R11" t="s">
        <v>69</v>
      </c>
      <c r="S11" t="s">
        <v>25</v>
      </c>
      <c r="T11" t="s">
        <v>33</v>
      </c>
      <c r="U11" t="s">
        <v>66</v>
      </c>
      <c r="V11" t="s">
        <v>33</v>
      </c>
      <c r="W11">
        <v>0</v>
      </c>
    </row>
    <row r="12" spans="1:27" x14ac:dyDescent="0.2">
      <c r="A12" s="1" t="s">
        <v>61</v>
      </c>
      <c r="B12" s="1">
        <v>2</v>
      </c>
      <c r="C12" t="s">
        <v>62</v>
      </c>
      <c r="D12" t="s">
        <v>67</v>
      </c>
      <c r="E12" t="s">
        <v>23</v>
      </c>
      <c r="F12" t="s">
        <v>64</v>
      </c>
      <c r="G12" t="s">
        <v>65</v>
      </c>
      <c r="H12" t="s">
        <v>68</v>
      </c>
      <c r="I12" t="s">
        <v>32</v>
      </c>
      <c r="J12" t="s">
        <v>25</v>
      </c>
      <c r="K12">
        <v>137</v>
      </c>
      <c r="L12">
        <v>134</v>
      </c>
      <c r="M12">
        <v>35.5</v>
      </c>
      <c r="Q12">
        <v>1</v>
      </c>
      <c r="R12" t="s">
        <v>69</v>
      </c>
      <c r="S12" t="s">
        <v>25</v>
      </c>
      <c r="T12" t="s">
        <v>33</v>
      </c>
      <c r="U12" t="s">
        <v>70</v>
      </c>
      <c r="V12" t="s">
        <v>33</v>
      </c>
      <c r="W12">
        <v>0</v>
      </c>
    </row>
    <row r="13" spans="1:27" x14ac:dyDescent="0.2">
      <c r="A13" s="1" t="s">
        <v>71</v>
      </c>
      <c r="B13" s="1">
        <v>1</v>
      </c>
      <c r="C13" t="s">
        <v>27</v>
      </c>
      <c r="D13" t="s">
        <v>72</v>
      </c>
      <c r="E13" t="s">
        <v>23</v>
      </c>
      <c r="F13" t="s">
        <v>64</v>
      </c>
      <c r="G13" t="s">
        <v>73</v>
      </c>
      <c r="H13" t="s">
        <v>25</v>
      </c>
      <c r="I13" t="s">
        <v>32</v>
      </c>
      <c r="J13" t="s">
        <v>25</v>
      </c>
      <c r="K13" t="s">
        <v>74</v>
      </c>
      <c r="L13">
        <v>32</v>
      </c>
      <c r="M13">
        <v>3.58</v>
      </c>
      <c r="Q13">
        <v>1</v>
      </c>
      <c r="R13" t="s">
        <v>75</v>
      </c>
      <c r="S13" t="s">
        <v>25</v>
      </c>
      <c r="T13" t="s">
        <v>33</v>
      </c>
      <c r="U13" t="s">
        <v>76</v>
      </c>
      <c r="V13" t="s">
        <v>33</v>
      </c>
      <c r="W13" t="s">
        <v>35</v>
      </c>
    </row>
    <row r="14" spans="1:27" x14ac:dyDescent="0.2">
      <c r="A14" s="1" t="s">
        <v>71</v>
      </c>
      <c r="B14" s="1">
        <v>2</v>
      </c>
      <c r="C14" t="s">
        <v>27</v>
      </c>
      <c r="D14" t="s">
        <v>72</v>
      </c>
      <c r="E14" t="s">
        <v>23</v>
      </c>
      <c r="F14" t="s">
        <v>64</v>
      </c>
      <c r="G14" t="s">
        <v>73</v>
      </c>
      <c r="H14" t="s">
        <v>25</v>
      </c>
      <c r="I14" t="s">
        <v>32</v>
      </c>
      <c r="J14" t="s">
        <v>25</v>
      </c>
      <c r="K14">
        <v>72</v>
      </c>
      <c r="L14">
        <v>72</v>
      </c>
      <c r="M14" t="s">
        <v>77</v>
      </c>
      <c r="Q14">
        <v>1</v>
      </c>
      <c r="R14" t="s">
        <v>33</v>
      </c>
      <c r="S14" t="s">
        <v>25</v>
      </c>
      <c r="T14" t="s">
        <v>33</v>
      </c>
      <c r="U14" t="s">
        <v>76</v>
      </c>
      <c r="V14" t="s">
        <v>33</v>
      </c>
      <c r="W14" t="s">
        <v>35</v>
      </c>
    </row>
    <row r="15" spans="1:27" x14ac:dyDescent="0.2">
      <c r="A15" s="1" t="s">
        <v>78</v>
      </c>
      <c r="B15" s="1">
        <v>1</v>
      </c>
      <c r="C15" t="s">
        <v>79</v>
      </c>
      <c r="D15" t="s">
        <v>80</v>
      </c>
      <c r="E15" t="s">
        <v>29</v>
      </c>
      <c r="F15" t="s">
        <v>81</v>
      </c>
      <c r="G15" t="s">
        <v>65</v>
      </c>
      <c r="H15" t="s">
        <v>25</v>
      </c>
      <c r="I15" t="s">
        <v>32</v>
      </c>
      <c r="J15" t="s">
        <v>25</v>
      </c>
      <c r="K15">
        <v>200</v>
      </c>
      <c r="L15">
        <v>200</v>
      </c>
      <c r="M15" t="s">
        <v>33</v>
      </c>
      <c r="Q15">
        <v>1</v>
      </c>
      <c r="R15">
        <v>0</v>
      </c>
      <c r="S15" t="s">
        <v>82</v>
      </c>
      <c r="T15" t="s">
        <v>33</v>
      </c>
      <c r="U15" t="s">
        <v>25</v>
      </c>
      <c r="V15" t="s">
        <v>25</v>
      </c>
      <c r="W15">
        <v>0</v>
      </c>
      <c r="AA15" t="s">
        <v>83</v>
      </c>
    </row>
    <row r="16" spans="1:27" x14ac:dyDescent="0.2">
      <c r="A16" s="1" t="s">
        <v>84</v>
      </c>
      <c r="B16" s="1">
        <v>1</v>
      </c>
      <c r="C16" t="s">
        <v>62</v>
      </c>
      <c r="D16" t="s">
        <v>63</v>
      </c>
      <c r="E16" t="s">
        <v>23</v>
      </c>
      <c r="F16" t="s">
        <v>85</v>
      </c>
      <c r="G16" t="s">
        <v>33</v>
      </c>
      <c r="H16" t="s">
        <v>25</v>
      </c>
      <c r="I16" t="s">
        <v>32</v>
      </c>
      <c r="J16" t="s">
        <v>25</v>
      </c>
      <c r="K16">
        <v>10</v>
      </c>
      <c r="L16">
        <v>10</v>
      </c>
      <c r="M16">
        <v>31.7</v>
      </c>
      <c r="N16">
        <v>9</v>
      </c>
      <c r="Q16">
        <v>1</v>
      </c>
      <c r="R16" t="s">
        <v>33</v>
      </c>
      <c r="S16" t="s">
        <v>25</v>
      </c>
      <c r="T16" t="s">
        <v>33</v>
      </c>
      <c r="U16" t="s">
        <v>86</v>
      </c>
      <c r="V16" t="s">
        <v>33</v>
      </c>
      <c r="W16" t="s">
        <v>35</v>
      </c>
    </row>
    <row r="17" spans="1:27" x14ac:dyDescent="0.2">
      <c r="A17" s="1" t="s">
        <v>87</v>
      </c>
      <c r="B17" s="1">
        <v>1</v>
      </c>
      <c r="C17" t="s">
        <v>56</v>
      </c>
      <c r="D17" t="s">
        <v>28</v>
      </c>
      <c r="E17" t="s">
        <v>29</v>
      </c>
      <c r="F17" t="s">
        <v>81</v>
      </c>
      <c r="G17" t="s">
        <v>88</v>
      </c>
      <c r="H17" t="s">
        <v>89</v>
      </c>
      <c r="I17" t="s">
        <v>32</v>
      </c>
      <c r="J17" t="s">
        <v>25</v>
      </c>
      <c r="K17">
        <v>1989</v>
      </c>
      <c r="L17">
        <v>1167</v>
      </c>
      <c r="M17" t="s">
        <v>90</v>
      </c>
      <c r="Q17">
        <v>1</v>
      </c>
      <c r="R17" t="s">
        <v>91</v>
      </c>
      <c r="S17" t="s">
        <v>92</v>
      </c>
      <c r="T17" t="s">
        <v>33</v>
      </c>
      <c r="U17" t="s">
        <v>25</v>
      </c>
      <c r="V17" t="s">
        <v>25</v>
      </c>
      <c r="W17" t="s">
        <v>315</v>
      </c>
      <c r="X17">
        <v>2334</v>
      </c>
      <c r="Y17">
        <v>9945</v>
      </c>
      <c r="Z17" s="3" t="s">
        <v>343</v>
      </c>
      <c r="AA17" t="s">
        <v>316</v>
      </c>
    </row>
    <row r="18" spans="1:27" x14ac:dyDescent="0.2">
      <c r="A18" s="1" t="s">
        <v>93</v>
      </c>
      <c r="B18" s="1">
        <v>1</v>
      </c>
      <c r="C18" t="s">
        <v>42</v>
      </c>
      <c r="D18" t="s">
        <v>94</v>
      </c>
      <c r="E18" t="s">
        <v>29</v>
      </c>
      <c r="F18" t="s">
        <v>81</v>
      </c>
      <c r="G18" t="s">
        <v>95</v>
      </c>
      <c r="H18" t="s">
        <v>25</v>
      </c>
      <c r="I18" t="s">
        <v>32</v>
      </c>
      <c r="J18" t="s">
        <v>96</v>
      </c>
      <c r="K18" s="3">
        <v>17263</v>
      </c>
      <c r="L18" s="3">
        <v>16718</v>
      </c>
      <c r="O18">
        <v>6</v>
      </c>
      <c r="P18">
        <v>17</v>
      </c>
      <c r="Q18">
        <v>1</v>
      </c>
      <c r="R18" t="s">
        <v>97</v>
      </c>
      <c r="S18">
        <v>50</v>
      </c>
      <c r="T18" t="s">
        <v>98</v>
      </c>
      <c r="U18" t="s">
        <v>25</v>
      </c>
      <c r="V18" t="s">
        <v>25</v>
      </c>
      <c r="W18" t="s">
        <v>315</v>
      </c>
      <c r="X18">
        <v>1671.8</v>
      </c>
      <c r="Y18">
        <v>16718</v>
      </c>
      <c r="Z18" s="3" t="s">
        <v>237</v>
      </c>
      <c r="AA18" t="s">
        <v>334</v>
      </c>
    </row>
    <row r="19" spans="1:27" x14ac:dyDescent="0.2">
      <c r="A19" s="1" t="s">
        <v>101</v>
      </c>
      <c r="B19" s="1">
        <v>1</v>
      </c>
      <c r="C19" t="s">
        <v>27</v>
      </c>
      <c r="D19" t="s">
        <v>102</v>
      </c>
      <c r="E19" t="s">
        <v>23</v>
      </c>
      <c r="F19" t="s">
        <v>24</v>
      </c>
      <c r="G19" t="s">
        <v>103</v>
      </c>
      <c r="H19" t="s">
        <v>25</v>
      </c>
      <c r="I19" t="s">
        <v>32</v>
      </c>
      <c r="J19" t="s">
        <v>25</v>
      </c>
      <c r="K19">
        <v>226</v>
      </c>
      <c r="L19">
        <v>218</v>
      </c>
      <c r="M19" t="s">
        <v>33</v>
      </c>
      <c r="Q19">
        <v>1</v>
      </c>
      <c r="R19" t="s">
        <v>69</v>
      </c>
      <c r="S19" t="s">
        <v>33</v>
      </c>
      <c r="T19" t="s">
        <v>33</v>
      </c>
      <c r="U19" t="s">
        <v>104</v>
      </c>
      <c r="V19" t="s">
        <v>33</v>
      </c>
      <c r="W19">
        <v>0</v>
      </c>
    </row>
    <row r="20" spans="1:27" x14ac:dyDescent="0.2">
      <c r="A20" s="1" t="s">
        <v>101</v>
      </c>
      <c r="B20" s="1">
        <v>2</v>
      </c>
      <c r="C20" t="s">
        <v>27</v>
      </c>
      <c r="D20" t="s">
        <v>102</v>
      </c>
      <c r="E20" t="s">
        <v>23</v>
      </c>
      <c r="F20" t="s">
        <v>24</v>
      </c>
      <c r="G20" t="s">
        <v>103</v>
      </c>
      <c r="H20" t="s">
        <v>25</v>
      </c>
      <c r="I20" t="s">
        <v>32</v>
      </c>
      <c r="J20" t="s">
        <v>25</v>
      </c>
      <c r="K20">
        <v>129</v>
      </c>
      <c r="L20">
        <v>129</v>
      </c>
      <c r="M20" t="s">
        <v>33</v>
      </c>
      <c r="Q20">
        <v>1</v>
      </c>
      <c r="R20" t="s">
        <v>69</v>
      </c>
      <c r="S20" t="s">
        <v>33</v>
      </c>
      <c r="T20" t="s">
        <v>33</v>
      </c>
      <c r="U20" t="s">
        <v>33</v>
      </c>
      <c r="V20" t="s">
        <v>33</v>
      </c>
      <c r="W20">
        <v>0</v>
      </c>
    </row>
    <row r="21" spans="1:27" x14ac:dyDescent="0.2">
      <c r="A21" s="1" t="s">
        <v>101</v>
      </c>
      <c r="B21" s="1">
        <v>3</v>
      </c>
      <c r="C21" t="s">
        <v>27</v>
      </c>
      <c r="D21" t="s">
        <v>102</v>
      </c>
      <c r="E21" t="s">
        <v>23</v>
      </c>
      <c r="F21" t="s">
        <v>24</v>
      </c>
      <c r="G21" t="s">
        <v>103</v>
      </c>
      <c r="H21" t="s">
        <v>25</v>
      </c>
      <c r="I21" t="s">
        <v>32</v>
      </c>
      <c r="J21" t="s">
        <v>25</v>
      </c>
      <c r="K21">
        <v>77</v>
      </c>
      <c r="L21">
        <v>72</v>
      </c>
      <c r="M21" t="s">
        <v>33</v>
      </c>
      <c r="Q21">
        <v>1</v>
      </c>
      <c r="R21" t="s">
        <v>69</v>
      </c>
      <c r="S21" t="s">
        <v>33</v>
      </c>
      <c r="T21" t="s">
        <v>33</v>
      </c>
      <c r="U21" t="s">
        <v>33</v>
      </c>
      <c r="V21" t="s">
        <v>33</v>
      </c>
      <c r="W21">
        <v>0</v>
      </c>
    </row>
    <row r="22" spans="1:27" x14ac:dyDescent="0.2">
      <c r="A22" s="1" t="s">
        <v>105</v>
      </c>
      <c r="B22" s="1">
        <v>1</v>
      </c>
      <c r="C22" t="s">
        <v>328</v>
      </c>
      <c r="D22" t="s">
        <v>106</v>
      </c>
      <c r="E22" t="s">
        <v>23</v>
      </c>
      <c r="F22" t="s">
        <v>44</v>
      </c>
      <c r="G22" t="s">
        <v>107</v>
      </c>
      <c r="H22" t="s">
        <v>25</v>
      </c>
      <c r="I22" t="s">
        <v>32</v>
      </c>
      <c r="J22" t="s">
        <v>25</v>
      </c>
      <c r="K22">
        <v>112</v>
      </c>
      <c r="L22">
        <v>87</v>
      </c>
      <c r="O22">
        <v>20</v>
      </c>
      <c r="P22">
        <v>59</v>
      </c>
      <c r="Q22" s="3" t="s">
        <v>342</v>
      </c>
      <c r="R22" t="s">
        <v>33</v>
      </c>
      <c r="S22" t="s">
        <v>108</v>
      </c>
      <c r="T22" t="s">
        <v>109</v>
      </c>
      <c r="U22" t="s">
        <v>110</v>
      </c>
      <c r="V22" t="s">
        <v>33</v>
      </c>
      <c r="W22" t="s">
        <v>35</v>
      </c>
    </row>
    <row r="23" spans="1:27" x14ac:dyDescent="0.2">
      <c r="A23" s="1" t="s">
        <v>111</v>
      </c>
      <c r="B23" s="1">
        <v>1</v>
      </c>
      <c r="C23" t="s">
        <v>27</v>
      </c>
      <c r="D23" t="s">
        <v>33</v>
      </c>
      <c r="E23" t="s">
        <v>23</v>
      </c>
      <c r="F23" t="s">
        <v>24</v>
      </c>
      <c r="G23" t="s">
        <v>112</v>
      </c>
      <c r="H23" t="s">
        <v>25</v>
      </c>
      <c r="I23" t="s">
        <v>32</v>
      </c>
      <c r="J23" t="s">
        <v>25</v>
      </c>
      <c r="K23">
        <v>561</v>
      </c>
      <c r="L23">
        <v>453</v>
      </c>
      <c r="M23">
        <v>45.42</v>
      </c>
      <c r="Q23">
        <v>1</v>
      </c>
      <c r="R23" t="s">
        <v>113</v>
      </c>
      <c r="S23" t="s">
        <v>33</v>
      </c>
      <c r="T23" t="s">
        <v>114</v>
      </c>
      <c r="U23" t="s">
        <v>25</v>
      </c>
      <c r="V23" t="s">
        <v>25</v>
      </c>
      <c r="W23">
        <v>14025</v>
      </c>
      <c r="Z23" t="s">
        <v>99</v>
      </c>
      <c r="AA23" t="s">
        <v>340</v>
      </c>
    </row>
    <row r="24" spans="1:27" x14ac:dyDescent="0.2">
      <c r="A24" s="1" t="s">
        <v>115</v>
      </c>
      <c r="B24" s="1" t="s">
        <v>116</v>
      </c>
      <c r="C24" t="s">
        <v>117</v>
      </c>
      <c r="D24" t="s">
        <v>118</v>
      </c>
      <c r="E24" t="s">
        <v>23</v>
      </c>
      <c r="F24" t="s">
        <v>64</v>
      </c>
      <c r="G24" t="s">
        <v>119</v>
      </c>
      <c r="H24" t="s">
        <v>25</v>
      </c>
      <c r="I24" t="s">
        <v>32</v>
      </c>
      <c r="J24" t="s">
        <v>25</v>
      </c>
      <c r="K24">
        <v>102</v>
      </c>
      <c r="L24">
        <v>102</v>
      </c>
      <c r="M24">
        <v>24.86</v>
      </c>
      <c r="Q24">
        <v>1</v>
      </c>
      <c r="R24" t="s">
        <v>120</v>
      </c>
      <c r="S24" t="s">
        <v>25</v>
      </c>
      <c r="T24" t="s">
        <v>33</v>
      </c>
      <c r="U24" t="s">
        <v>121</v>
      </c>
      <c r="V24" t="s">
        <v>33</v>
      </c>
      <c r="W24">
        <f>102*20</f>
        <v>2040</v>
      </c>
      <c r="Z24" t="s">
        <v>335</v>
      </c>
    </row>
    <row r="25" spans="1:27" x14ac:dyDescent="0.2">
      <c r="A25" s="1" t="s">
        <v>115</v>
      </c>
      <c r="B25" s="1" t="s">
        <v>122</v>
      </c>
      <c r="C25" t="s">
        <v>117</v>
      </c>
      <c r="D25" t="s">
        <v>118</v>
      </c>
      <c r="E25" t="s">
        <v>23</v>
      </c>
      <c r="F25" t="s">
        <v>64</v>
      </c>
      <c r="G25" t="s">
        <v>119</v>
      </c>
      <c r="H25" t="s">
        <v>25</v>
      </c>
      <c r="I25" t="s">
        <v>32</v>
      </c>
      <c r="J25" t="s">
        <v>25</v>
      </c>
      <c r="K25">
        <v>41</v>
      </c>
      <c r="L25">
        <v>41</v>
      </c>
      <c r="M25">
        <v>27</v>
      </c>
      <c r="Q25">
        <v>1</v>
      </c>
      <c r="R25" t="s">
        <v>120</v>
      </c>
      <c r="S25" t="s">
        <v>25</v>
      </c>
      <c r="T25" t="s">
        <v>33</v>
      </c>
      <c r="U25" t="s">
        <v>121</v>
      </c>
      <c r="V25" t="s">
        <v>33</v>
      </c>
      <c r="W25">
        <f>41*20</f>
        <v>820</v>
      </c>
      <c r="Z25" t="s">
        <v>335</v>
      </c>
    </row>
    <row r="26" spans="1:27" x14ac:dyDescent="0.2">
      <c r="A26" s="1" t="s">
        <v>115</v>
      </c>
      <c r="B26" s="1" t="s">
        <v>123</v>
      </c>
      <c r="C26" t="s">
        <v>117</v>
      </c>
      <c r="D26" t="s">
        <v>118</v>
      </c>
      <c r="E26" t="s">
        <v>23</v>
      </c>
      <c r="F26" t="s">
        <v>64</v>
      </c>
      <c r="G26" t="s">
        <v>119</v>
      </c>
      <c r="H26" t="s">
        <v>25</v>
      </c>
      <c r="I26" t="s">
        <v>32</v>
      </c>
      <c r="J26" t="s">
        <v>25</v>
      </c>
      <c r="K26">
        <v>35</v>
      </c>
      <c r="L26">
        <v>35</v>
      </c>
      <c r="M26">
        <v>24.51</v>
      </c>
      <c r="Q26">
        <v>1</v>
      </c>
      <c r="R26" t="s">
        <v>120</v>
      </c>
      <c r="S26" t="s">
        <v>25</v>
      </c>
      <c r="T26" t="s">
        <v>33</v>
      </c>
      <c r="U26" t="s">
        <v>121</v>
      </c>
      <c r="V26" t="s">
        <v>33</v>
      </c>
      <c r="W26">
        <f>35*20</f>
        <v>700</v>
      </c>
      <c r="Z26" t="s">
        <v>335</v>
      </c>
    </row>
    <row r="27" spans="1:27" x14ac:dyDescent="0.2">
      <c r="A27" s="1" t="s">
        <v>115</v>
      </c>
      <c r="B27" s="1" t="s">
        <v>26</v>
      </c>
      <c r="C27" t="s">
        <v>117</v>
      </c>
      <c r="D27" t="s">
        <v>118</v>
      </c>
      <c r="E27" t="s">
        <v>23</v>
      </c>
      <c r="F27" t="s">
        <v>64</v>
      </c>
      <c r="G27" t="s">
        <v>119</v>
      </c>
      <c r="H27" t="s">
        <v>25</v>
      </c>
      <c r="I27" t="s">
        <v>32</v>
      </c>
      <c r="J27" t="s">
        <v>25</v>
      </c>
      <c r="K27">
        <v>148</v>
      </c>
      <c r="L27">
        <v>148</v>
      </c>
      <c r="M27">
        <v>24.08</v>
      </c>
      <c r="Q27">
        <v>1</v>
      </c>
      <c r="R27" t="s">
        <v>120</v>
      </c>
      <c r="S27" t="s">
        <v>25</v>
      </c>
      <c r="T27" t="s">
        <v>33</v>
      </c>
      <c r="U27" t="s">
        <v>121</v>
      </c>
      <c r="V27" t="s">
        <v>33</v>
      </c>
      <c r="W27">
        <f>148*20</f>
        <v>2960</v>
      </c>
      <c r="Z27" t="s">
        <v>335</v>
      </c>
    </row>
    <row r="28" spans="1:27" x14ac:dyDescent="0.2">
      <c r="A28" s="1" t="s">
        <v>115</v>
      </c>
      <c r="B28" s="1" t="s">
        <v>36</v>
      </c>
      <c r="C28" t="s">
        <v>117</v>
      </c>
      <c r="D28" t="s">
        <v>118</v>
      </c>
      <c r="E28" t="s">
        <v>23</v>
      </c>
      <c r="F28" t="s">
        <v>64</v>
      </c>
      <c r="G28" t="s">
        <v>119</v>
      </c>
      <c r="H28" t="s">
        <v>25</v>
      </c>
      <c r="I28" t="s">
        <v>32</v>
      </c>
      <c r="J28" t="s">
        <v>25</v>
      </c>
      <c r="K28">
        <v>125</v>
      </c>
      <c r="L28">
        <v>125</v>
      </c>
      <c r="M28">
        <v>22.52</v>
      </c>
      <c r="Q28">
        <v>1</v>
      </c>
      <c r="R28" t="s">
        <v>120</v>
      </c>
      <c r="S28" t="s">
        <v>25</v>
      </c>
      <c r="T28" t="s">
        <v>33</v>
      </c>
      <c r="U28" t="s">
        <v>121</v>
      </c>
      <c r="V28" t="s">
        <v>33</v>
      </c>
      <c r="W28">
        <f>125*20</f>
        <v>2500</v>
      </c>
      <c r="Z28" t="s">
        <v>335</v>
      </c>
    </row>
    <row r="29" spans="1:27" x14ac:dyDescent="0.2">
      <c r="A29" s="1" t="s">
        <v>124</v>
      </c>
      <c r="B29" s="1">
        <v>1</v>
      </c>
      <c r="C29" t="s">
        <v>125</v>
      </c>
      <c r="D29" t="s">
        <v>28</v>
      </c>
      <c r="E29" t="s">
        <v>29</v>
      </c>
      <c r="F29" t="s">
        <v>81</v>
      </c>
      <c r="G29" t="s">
        <v>112</v>
      </c>
      <c r="H29" t="s">
        <v>126</v>
      </c>
      <c r="I29" t="s">
        <v>32</v>
      </c>
      <c r="J29" t="s">
        <v>25</v>
      </c>
      <c r="K29">
        <v>216</v>
      </c>
      <c r="L29">
        <v>107</v>
      </c>
      <c r="O29">
        <v>20</v>
      </c>
      <c r="P29">
        <v>25</v>
      </c>
      <c r="Q29">
        <v>1</v>
      </c>
      <c r="R29" t="s">
        <v>127</v>
      </c>
      <c r="S29" t="s">
        <v>33</v>
      </c>
      <c r="T29" t="s">
        <v>33</v>
      </c>
      <c r="U29" t="s">
        <v>25</v>
      </c>
      <c r="V29" t="s">
        <v>33</v>
      </c>
      <c r="W29" t="s">
        <v>35</v>
      </c>
    </row>
    <row r="30" spans="1:27" x14ac:dyDescent="0.2">
      <c r="A30" s="1" t="s">
        <v>128</v>
      </c>
      <c r="B30" s="1">
        <v>1</v>
      </c>
      <c r="C30" t="s">
        <v>129</v>
      </c>
      <c r="D30" t="s">
        <v>130</v>
      </c>
      <c r="E30" t="s">
        <v>131</v>
      </c>
      <c r="AA30" t="s">
        <v>49</v>
      </c>
    </row>
    <row r="31" spans="1:27" x14ac:dyDescent="0.2">
      <c r="A31" s="1" t="s">
        <v>132</v>
      </c>
      <c r="B31" s="1">
        <v>1</v>
      </c>
      <c r="C31" t="s">
        <v>27</v>
      </c>
      <c r="D31" t="s">
        <v>33</v>
      </c>
      <c r="E31" t="s">
        <v>29</v>
      </c>
      <c r="F31" t="s">
        <v>81</v>
      </c>
      <c r="G31" t="s">
        <v>133</v>
      </c>
      <c r="H31" t="s">
        <v>25</v>
      </c>
      <c r="I31" t="s">
        <v>32</v>
      </c>
      <c r="J31" t="s">
        <v>134</v>
      </c>
      <c r="K31">
        <v>245</v>
      </c>
      <c r="L31">
        <v>74</v>
      </c>
      <c r="M31">
        <v>37.299999999999997</v>
      </c>
      <c r="Q31">
        <v>1</v>
      </c>
      <c r="R31" t="s">
        <v>33</v>
      </c>
      <c r="S31" t="s">
        <v>25</v>
      </c>
      <c r="T31" t="s">
        <v>135</v>
      </c>
      <c r="U31" t="s">
        <v>25</v>
      </c>
      <c r="V31" t="s">
        <v>25</v>
      </c>
      <c r="W31" t="s">
        <v>35</v>
      </c>
    </row>
    <row r="32" spans="1:27" x14ac:dyDescent="0.2">
      <c r="A32" s="1" t="s">
        <v>136</v>
      </c>
      <c r="B32" s="1">
        <v>1</v>
      </c>
      <c r="C32" t="s">
        <v>39</v>
      </c>
      <c r="D32" t="s">
        <v>137</v>
      </c>
      <c r="E32" t="s">
        <v>29</v>
      </c>
      <c r="F32" t="s">
        <v>81</v>
      </c>
      <c r="G32" t="s">
        <v>138</v>
      </c>
      <c r="H32" t="s">
        <v>25</v>
      </c>
      <c r="I32" t="s">
        <v>32</v>
      </c>
      <c r="J32" t="s">
        <v>25</v>
      </c>
      <c r="K32" s="3">
        <v>259</v>
      </c>
      <c r="L32" s="3">
        <v>242</v>
      </c>
      <c r="O32" t="s">
        <v>322</v>
      </c>
      <c r="P32" t="s">
        <v>321</v>
      </c>
      <c r="Q32">
        <v>1</v>
      </c>
      <c r="R32" t="s">
        <v>33</v>
      </c>
      <c r="S32" t="s">
        <v>139</v>
      </c>
      <c r="T32" t="s">
        <v>140</v>
      </c>
      <c r="U32" t="s">
        <v>25</v>
      </c>
      <c r="V32" t="s">
        <v>25</v>
      </c>
      <c r="W32" t="s">
        <v>35</v>
      </c>
    </row>
    <row r="33" spans="1:27" x14ac:dyDescent="0.2">
      <c r="A33" s="1" t="s">
        <v>141</v>
      </c>
      <c r="B33" s="1">
        <v>1</v>
      </c>
      <c r="C33" t="s">
        <v>142</v>
      </c>
      <c r="D33" t="s">
        <v>143</v>
      </c>
      <c r="E33" t="s">
        <v>23</v>
      </c>
      <c r="F33" t="s">
        <v>85</v>
      </c>
      <c r="G33" t="s">
        <v>144</v>
      </c>
      <c r="H33" t="s">
        <v>25</v>
      </c>
      <c r="I33" t="s">
        <v>32</v>
      </c>
      <c r="J33" t="s">
        <v>145</v>
      </c>
      <c r="K33">
        <v>31</v>
      </c>
      <c r="L33">
        <v>31</v>
      </c>
      <c r="M33">
        <v>25.4</v>
      </c>
      <c r="Q33">
        <v>1</v>
      </c>
      <c r="R33" t="s">
        <v>33</v>
      </c>
      <c r="S33" t="s">
        <v>146</v>
      </c>
      <c r="T33" t="s">
        <v>33</v>
      </c>
      <c r="U33" t="s">
        <v>147</v>
      </c>
      <c r="V33" t="s">
        <v>148</v>
      </c>
      <c r="W33" t="s">
        <v>35</v>
      </c>
    </row>
    <row r="34" spans="1:27" x14ac:dyDescent="0.2">
      <c r="A34" s="1" t="s">
        <v>149</v>
      </c>
      <c r="B34" s="1">
        <v>1</v>
      </c>
      <c r="C34" t="s">
        <v>27</v>
      </c>
      <c r="D34" t="s">
        <v>150</v>
      </c>
      <c r="E34" t="s">
        <v>23</v>
      </c>
      <c r="F34" s="3" t="s">
        <v>24</v>
      </c>
      <c r="G34" t="s">
        <v>33</v>
      </c>
      <c r="H34" t="s">
        <v>25</v>
      </c>
      <c r="I34" t="s">
        <v>32</v>
      </c>
      <c r="J34" t="s">
        <v>25</v>
      </c>
      <c r="K34">
        <v>187</v>
      </c>
      <c r="L34">
        <v>166</v>
      </c>
      <c r="O34">
        <v>4</v>
      </c>
      <c r="P34">
        <v>9</v>
      </c>
      <c r="Q34">
        <v>1</v>
      </c>
      <c r="R34" t="s">
        <v>33</v>
      </c>
      <c r="S34" t="s">
        <v>151</v>
      </c>
      <c r="T34" t="s">
        <v>33</v>
      </c>
      <c r="U34" t="s">
        <v>25</v>
      </c>
      <c r="V34" t="s">
        <v>25</v>
      </c>
      <c r="W34" t="s">
        <v>35</v>
      </c>
    </row>
    <row r="35" spans="1:27" x14ac:dyDescent="0.2">
      <c r="A35" s="1" t="s">
        <v>149</v>
      </c>
      <c r="B35" s="1">
        <v>2</v>
      </c>
      <c r="C35" t="s">
        <v>27</v>
      </c>
      <c r="D35" t="s">
        <v>28</v>
      </c>
      <c r="E35" t="s">
        <v>23</v>
      </c>
      <c r="F35" s="3" t="s">
        <v>24</v>
      </c>
      <c r="G35" t="s">
        <v>28</v>
      </c>
      <c r="H35" t="s">
        <v>31</v>
      </c>
      <c r="I35" t="s">
        <v>152</v>
      </c>
      <c r="J35" t="s">
        <v>25</v>
      </c>
      <c r="K35">
        <v>506</v>
      </c>
      <c r="L35">
        <v>318</v>
      </c>
      <c r="M35" t="s">
        <v>33</v>
      </c>
      <c r="Q35">
        <v>1</v>
      </c>
      <c r="R35" t="s">
        <v>153</v>
      </c>
      <c r="S35" t="s">
        <v>154</v>
      </c>
      <c r="T35" t="s">
        <v>33</v>
      </c>
      <c r="U35" t="s">
        <v>25</v>
      </c>
      <c r="W35" t="s">
        <v>315</v>
      </c>
      <c r="X35">
        <v>506</v>
      </c>
      <c r="Y35">
        <v>1012</v>
      </c>
      <c r="Z35" t="s">
        <v>99</v>
      </c>
    </row>
    <row r="36" spans="1:27" x14ac:dyDescent="0.2">
      <c r="A36" s="1" t="s">
        <v>155</v>
      </c>
      <c r="B36" s="1">
        <v>1</v>
      </c>
      <c r="C36" t="s">
        <v>27</v>
      </c>
      <c r="D36" t="s">
        <v>156</v>
      </c>
      <c r="E36" t="s">
        <v>23</v>
      </c>
      <c r="F36" t="s">
        <v>157</v>
      </c>
      <c r="G36" t="s">
        <v>158</v>
      </c>
      <c r="H36" t="s">
        <v>25</v>
      </c>
      <c r="I36" t="s">
        <v>32</v>
      </c>
      <c r="J36" t="s">
        <v>159</v>
      </c>
      <c r="K36">
        <v>23</v>
      </c>
      <c r="L36">
        <v>23</v>
      </c>
      <c r="M36">
        <v>39.090000000000003</v>
      </c>
      <c r="Q36">
        <v>1</v>
      </c>
      <c r="R36" t="s">
        <v>33</v>
      </c>
      <c r="S36">
        <v>20</v>
      </c>
      <c r="T36" t="s">
        <v>160</v>
      </c>
      <c r="U36" t="s">
        <v>161</v>
      </c>
      <c r="V36" t="s">
        <v>162</v>
      </c>
      <c r="W36" t="s">
        <v>35</v>
      </c>
      <c r="AA36" t="s">
        <v>100</v>
      </c>
    </row>
    <row r="37" spans="1:27" x14ac:dyDescent="0.2">
      <c r="A37" s="1" t="s">
        <v>155</v>
      </c>
      <c r="B37" s="1">
        <v>1</v>
      </c>
      <c r="C37" t="s">
        <v>27</v>
      </c>
      <c r="D37" t="s">
        <v>163</v>
      </c>
      <c r="E37" t="s">
        <v>23</v>
      </c>
      <c r="F37" t="s">
        <v>157</v>
      </c>
      <c r="G37" t="s">
        <v>164</v>
      </c>
      <c r="H37" t="s">
        <v>25</v>
      </c>
      <c r="I37" t="s">
        <v>152</v>
      </c>
      <c r="J37" t="s">
        <v>145</v>
      </c>
      <c r="K37">
        <v>20</v>
      </c>
      <c r="L37">
        <v>20</v>
      </c>
      <c r="M37">
        <v>37.25</v>
      </c>
      <c r="Q37">
        <v>1</v>
      </c>
      <c r="R37" t="s">
        <v>33</v>
      </c>
      <c r="S37">
        <v>20</v>
      </c>
      <c r="T37" t="s">
        <v>160</v>
      </c>
      <c r="U37" t="s">
        <v>161</v>
      </c>
    </row>
    <row r="38" spans="1:27" x14ac:dyDescent="0.2">
      <c r="A38" s="1" t="s">
        <v>165</v>
      </c>
      <c r="B38" s="1">
        <v>1</v>
      </c>
      <c r="C38" t="s">
        <v>27</v>
      </c>
      <c r="D38" t="s">
        <v>166</v>
      </c>
      <c r="E38" t="s">
        <v>29</v>
      </c>
      <c r="F38" t="s">
        <v>167</v>
      </c>
      <c r="G38" t="s">
        <v>168</v>
      </c>
      <c r="H38" t="s">
        <v>25</v>
      </c>
      <c r="I38" t="s">
        <v>32</v>
      </c>
      <c r="J38" t="s">
        <v>25</v>
      </c>
      <c r="K38">
        <v>120</v>
      </c>
      <c r="L38">
        <v>111</v>
      </c>
      <c r="M38">
        <v>35.6</v>
      </c>
      <c r="Q38" s="3" t="s">
        <v>325</v>
      </c>
      <c r="R38" t="s">
        <v>169</v>
      </c>
      <c r="S38">
        <v>23</v>
      </c>
      <c r="T38" t="s">
        <v>33</v>
      </c>
      <c r="U38" t="s">
        <v>25</v>
      </c>
      <c r="V38" t="s">
        <v>25</v>
      </c>
      <c r="W38" t="s">
        <v>315</v>
      </c>
      <c r="X38">
        <f>30*111 * 0.5</f>
        <v>1665</v>
      </c>
      <c r="Y38">
        <v>3600</v>
      </c>
      <c r="Z38" t="s">
        <v>99</v>
      </c>
      <c r="AA38" t="s">
        <v>170</v>
      </c>
    </row>
    <row r="39" spans="1:27" x14ac:dyDescent="0.2">
      <c r="A39" s="1" t="s">
        <v>171</v>
      </c>
      <c r="B39" s="1">
        <v>1</v>
      </c>
      <c r="C39" t="s">
        <v>39</v>
      </c>
      <c r="D39" t="s">
        <v>172</v>
      </c>
      <c r="E39" t="s">
        <v>23</v>
      </c>
      <c r="F39" t="s">
        <v>58</v>
      </c>
      <c r="G39" t="s">
        <v>173</v>
      </c>
      <c r="H39" t="s">
        <v>25</v>
      </c>
      <c r="I39" t="s">
        <v>32</v>
      </c>
      <c r="J39" t="s">
        <v>174</v>
      </c>
      <c r="K39">
        <v>32</v>
      </c>
      <c r="L39">
        <v>24</v>
      </c>
      <c r="M39">
        <v>24.4</v>
      </c>
      <c r="Q39">
        <v>1</v>
      </c>
      <c r="R39">
        <v>24</v>
      </c>
      <c r="S39" t="s">
        <v>175</v>
      </c>
      <c r="T39" t="s">
        <v>176</v>
      </c>
      <c r="U39" t="s">
        <v>177</v>
      </c>
      <c r="V39" t="s">
        <v>176</v>
      </c>
      <c r="W39">
        <v>768</v>
      </c>
      <c r="Z39" t="s">
        <v>178</v>
      </c>
      <c r="AA39">
        <f>K39*R39</f>
        <v>768</v>
      </c>
    </row>
    <row r="40" spans="1:27" x14ac:dyDescent="0.2">
      <c r="A40" s="1" t="s">
        <v>179</v>
      </c>
      <c r="B40" s="1">
        <v>1</v>
      </c>
      <c r="C40" t="s">
        <v>27</v>
      </c>
      <c r="D40" t="s">
        <v>180</v>
      </c>
      <c r="E40" t="s">
        <v>23</v>
      </c>
      <c r="F40" t="s">
        <v>52</v>
      </c>
      <c r="G40" t="s">
        <v>181</v>
      </c>
      <c r="H40" t="s">
        <v>25</v>
      </c>
      <c r="I40" t="s">
        <v>32</v>
      </c>
      <c r="J40" t="s">
        <v>182</v>
      </c>
      <c r="K40">
        <v>509</v>
      </c>
      <c r="L40">
        <v>509</v>
      </c>
      <c r="M40">
        <v>19.2</v>
      </c>
      <c r="Q40" s="3" t="s">
        <v>336</v>
      </c>
      <c r="R40" t="s">
        <v>337</v>
      </c>
      <c r="S40" t="s">
        <v>33</v>
      </c>
      <c r="U40" t="s">
        <v>25</v>
      </c>
      <c r="V40" t="s">
        <v>25</v>
      </c>
      <c r="W40" s="3">
        <f>20*(69 + 62 + 66 +66 +68 +63) + 25 * (72 + 68 + 68 + 59 + 64 + 65)</f>
        <v>17780</v>
      </c>
      <c r="Z40" t="s">
        <v>99</v>
      </c>
      <c r="AA40" s="3" t="s">
        <v>338</v>
      </c>
    </row>
    <row r="41" spans="1:27" x14ac:dyDescent="0.2">
      <c r="A41" s="1" t="s">
        <v>183</v>
      </c>
      <c r="B41" s="1">
        <v>1</v>
      </c>
      <c r="C41" t="s">
        <v>62</v>
      </c>
      <c r="D41" t="s">
        <v>184</v>
      </c>
      <c r="E41" t="s">
        <v>23</v>
      </c>
      <c r="F41" t="s">
        <v>58</v>
      </c>
      <c r="H41" t="s">
        <v>25</v>
      </c>
      <c r="K41" t="s">
        <v>185</v>
      </c>
      <c r="L41" t="s">
        <v>186</v>
      </c>
      <c r="Q41">
        <v>1</v>
      </c>
      <c r="R41" t="s">
        <v>33</v>
      </c>
      <c r="T41" t="s">
        <v>33</v>
      </c>
      <c r="U41" t="s">
        <v>187</v>
      </c>
      <c r="W41" t="s">
        <v>35</v>
      </c>
    </row>
    <row r="42" spans="1:27" x14ac:dyDescent="0.2">
      <c r="A42" s="1" t="s">
        <v>188</v>
      </c>
      <c r="B42" s="1">
        <v>1</v>
      </c>
      <c r="C42" t="s">
        <v>56</v>
      </c>
      <c r="D42" t="s">
        <v>189</v>
      </c>
      <c r="E42" t="s">
        <v>29</v>
      </c>
      <c r="F42" t="s">
        <v>167</v>
      </c>
      <c r="G42" t="s">
        <v>190</v>
      </c>
      <c r="H42" t="s">
        <v>25</v>
      </c>
      <c r="I42" t="s">
        <v>32</v>
      </c>
      <c r="J42" t="s">
        <v>25</v>
      </c>
      <c r="K42">
        <v>72</v>
      </c>
      <c r="L42">
        <v>71</v>
      </c>
      <c r="M42">
        <v>27.77</v>
      </c>
      <c r="Q42" s="3" t="s">
        <v>324</v>
      </c>
      <c r="R42" t="s">
        <v>33</v>
      </c>
      <c r="S42">
        <v>29</v>
      </c>
      <c r="T42" t="s">
        <v>33</v>
      </c>
      <c r="U42" t="s">
        <v>25</v>
      </c>
      <c r="V42" t="s">
        <v>25</v>
      </c>
      <c r="W42" t="s">
        <v>35</v>
      </c>
    </row>
    <row r="43" spans="1:27" x14ac:dyDescent="0.2">
      <c r="A43" s="1" t="s">
        <v>191</v>
      </c>
      <c r="B43" s="1">
        <v>1</v>
      </c>
      <c r="C43" t="s">
        <v>27</v>
      </c>
      <c r="D43" t="s">
        <v>192</v>
      </c>
      <c r="E43" t="s">
        <v>23</v>
      </c>
      <c r="F43" t="s">
        <v>24</v>
      </c>
      <c r="G43" t="s">
        <v>33</v>
      </c>
      <c r="H43" t="s">
        <v>25</v>
      </c>
      <c r="I43" t="s">
        <v>32</v>
      </c>
      <c r="J43" t="s">
        <v>25</v>
      </c>
      <c r="K43">
        <v>72</v>
      </c>
      <c r="L43">
        <v>62</v>
      </c>
      <c r="M43" t="s">
        <v>33</v>
      </c>
      <c r="Q43" s="3" t="s">
        <v>326</v>
      </c>
      <c r="R43" t="s">
        <v>33</v>
      </c>
      <c r="S43" t="s">
        <v>194</v>
      </c>
      <c r="T43" t="s">
        <v>195</v>
      </c>
      <c r="U43" t="s">
        <v>196</v>
      </c>
      <c r="V43" t="s">
        <v>25</v>
      </c>
      <c r="W43" t="s">
        <v>35</v>
      </c>
    </row>
    <row r="44" spans="1:27" x14ac:dyDescent="0.2">
      <c r="A44" s="1" t="s">
        <v>197</v>
      </c>
      <c r="B44" s="1">
        <v>1</v>
      </c>
      <c r="C44" t="s">
        <v>27</v>
      </c>
      <c r="D44" t="s">
        <v>198</v>
      </c>
      <c r="E44" t="s">
        <v>23</v>
      </c>
      <c r="F44" t="s">
        <v>52</v>
      </c>
      <c r="G44" t="s">
        <v>199</v>
      </c>
      <c r="H44" t="s">
        <v>25</v>
      </c>
      <c r="I44" t="s">
        <v>32</v>
      </c>
      <c r="J44" t="s">
        <v>200</v>
      </c>
      <c r="K44">
        <v>200</v>
      </c>
      <c r="L44">
        <v>200</v>
      </c>
      <c r="M44" t="s">
        <v>201</v>
      </c>
      <c r="Q44" s="3" t="s">
        <v>327</v>
      </c>
      <c r="R44" t="s">
        <v>202</v>
      </c>
      <c r="S44" t="s">
        <v>25</v>
      </c>
      <c r="T44" t="s">
        <v>193</v>
      </c>
      <c r="U44" t="s">
        <v>203</v>
      </c>
      <c r="W44">
        <f>50*(50 + 49 + 49+48) + 50 *(49 + 49+47+46) + 50* (49+47+48+47) + 50* (47+45+46+47)</f>
        <v>38150</v>
      </c>
      <c r="Z44" t="s">
        <v>99</v>
      </c>
      <c r="AA44" s="3" t="s">
        <v>339</v>
      </c>
    </row>
    <row r="45" spans="1:27" x14ac:dyDescent="0.2">
      <c r="A45" s="1" t="s">
        <v>204</v>
      </c>
      <c r="B45" s="1">
        <v>1</v>
      </c>
      <c r="C45" t="s">
        <v>27</v>
      </c>
      <c r="D45" t="s">
        <v>33</v>
      </c>
      <c r="E45" t="s">
        <v>23</v>
      </c>
      <c r="F45" t="s">
        <v>64</v>
      </c>
      <c r="G45" t="s">
        <v>33</v>
      </c>
      <c r="H45" t="s">
        <v>25</v>
      </c>
      <c r="I45" t="s">
        <v>32</v>
      </c>
      <c r="J45" t="s">
        <v>25</v>
      </c>
      <c r="K45" s="3">
        <v>42</v>
      </c>
      <c r="L45" s="3">
        <v>40</v>
      </c>
      <c r="M45">
        <v>19.899999999999999</v>
      </c>
      <c r="Q45">
        <v>1</v>
      </c>
      <c r="R45" t="s">
        <v>33</v>
      </c>
      <c r="S45" t="s">
        <v>25</v>
      </c>
      <c r="T45" t="s">
        <v>33</v>
      </c>
      <c r="U45" t="s">
        <v>205</v>
      </c>
      <c r="V45" t="s">
        <v>33</v>
      </c>
      <c r="W45" t="s">
        <v>35</v>
      </c>
    </row>
    <row r="46" spans="1:27" x14ac:dyDescent="0.2">
      <c r="A46" s="1" t="s">
        <v>204</v>
      </c>
      <c r="B46" s="1">
        <v>2</v>
      </c>
      <c r="C46" t="s">
        <v>27</v>
      </c>
      <c r="D46" t="s">
        <v>33</v>
      </c>
      <c r="E46" t="s">
        <v>23</v>
      </c>
      <c r="F46" t="s">
        <v>64</v>
      </c>
      <c r="G46" t="s">
        <v>33</v>
      </c>
      <c r="H46" t="s">
        <v>25</v>
      </c>
      <c r="I46" t="s">
        <v>32</v>
      </c>
      <c r="J46" t="s">
        <v>25</v>
      </c>
      <c r="K46" s="3">
        <v>55</v>
      </c>
      <c r="L46" s="3">
        <v>47</v>
      </c>
      <c r="M46">
        <v>19.8</v>
      </c>
      <c r="Q46">
        <v>1</v>
      </c>
      <c r="R46" t="s">
        <v>33</v>
      </c>
      <c r="S46" t="s">
        <v>25</v>
      </c>
      <c r="T46" t="s">
        <v>33</v>
      </c>
      <c r="U46" t="s">
        <v>205</v>
      </c>
      <c r="V46" t="s">
        <v>33</v>
      </c>
      <c r="W46" t="s">
        <v>35</v>
      </c>
    </row>
    <row r="47" spans="1:27" x14ac:dyDescent="0.2">
      <c r="A47" s="1" t="s">
        <v>206</v>
      </c>
      <c r="B47" s="1">
        <v>1</v>
      </c>
      <c r="C47" t="s">
        <v>209</v>
      </c>
      <c r="D47" t="s">
        <v>33</v>
      </c>
      <c r="E47" t="s">
        <v>23</v>
      </c>
      <c r="F47" t="s">
        <v>24</v>
      </c>
      <c r="G47" t="s">
        <v>207</v>
      </c>
      <c r="H47" t="s">
        <v>207</v>
      </c>
      <c r="I47" t="s">
        <v>32</v>
      </c>
      <c r="J47" t="s">
        <v>25</v>
      </c>
      <c r="K47">
        <v>1671</v>
      </c>
      <c r="L47">
        <v>1671</v>
      </c>
      <c r="M47">
        <v>24.43</v>
      </c>
      <c r="Q47">
        <v>1</v>
      </c>
      <c r="R47" t="s">
        <v>33</v>
      </c>
      <c r="S47" t="s">
        <v>208</v>
      </c>
      <c r="T47" t="s">
        <v>33</v>
      </c>
      <c r="U47" t="s">
        <v>25</v>
      </c>
      <c r="V47" t="s">
        <v>25</v>
      </c>
      <c r="W47" s="3" t="s">
        <v>35</v>
      </c>
    </row>
    <row r="48" spans="1:27" x14ac:dyDescent="0.2">
      <c r="A48" s="1" t="s">
        <v>206</v>
      </c>
      <c r="B48" s="1">
        <v>2</v>
      </c>
      <c r="C48" t="s">
        <v>209</v>
      </c>
      <c r="D48" t="s">
        <v>28</v>
      </c>
      <c r="E48" t="s">
        <v>23</v>
      </c>
      <c r="F48" t="s">
        <v>24</v>
      </c>
      <c r="G48" t="s">
        <v>126</v>
      </c>
      <c r="H48" t="s">
        <v>25</v>
      </c>
      <c r="I48" t="s">
        <v>32</v>
      </c>
      <c r="J48" t="s">
        <v>25</v>
      </c>
      <c r="K48">
        <v>201</v>
      </c>
      <c r="L48">
        <v>201</v>
      </c>
      <c r="M48">
        <v>25.3</v>
      </c>
      <c r="Q48">
        <v>1</v>
      </c>
      <c r="R48" t="s">
        <v>210</v>
      </c>
      <c r="S48">
        <v>12</v>
      </c>
      <c r="T48" t="s">
        <v>33</v>
      </c>
      <c r="U48" t="s">
        <v>211</v>
      </c>
      <c r="W48" s="3" t="s">
        <v>212</v>
      </c>
      <c r="Z48" t="s">
        <v>213</v>
      </c>
    </row>
    <row r="49" spans="1:29" x14ac:dyDescent="0.2">
      <c r="A49" s="1" t="s">
        <v>206</v>
      </c>
      <c r="B49" s="1">
        <v>2</v>
      </c>
      <c r="C49" t="s">
        <v>27</v>
      </c>
      <c r="D49" t="s">
        <v>28</v>
      </c>
      <c r="E49" t="s">
        <v>23</v>
      </c>
      <c r="F49" t="s">
        <v>24</v>
      </c>
      <c r="G49" t="s">
        <v>31</v>
      </c>
      <c r="H49" t="s">
        <v>31</v>
      </c>
      <c r="I49" t="s">
        <v>152</v>
      </c>
      <c r="J49" t="s">
        <v>25</v>
      </c>
      <c r="K49">
        <v>181</v>
      </c>
      <c r="L49">
        <v>181</v>
      </c>
      <c r="M49">
        <v>28.92</v>
      </c>
      <c r="Q49">
        <v>1</v>
      </c>
      <c r="R49" t="s">
        <v>214</v>
      </c>
      <c r="S49">
        <v>12</v>
      </c>
      <c r="T49" t="s">
        <v>33</v>
      </c>
      <c r="U49" t="s">
        <v>211</v>
      </c>
      <c r="W49" s="3">
        <v>543</v>
      </c>
      <c r="Z49" t="s">
        <v>99</v>
      </c>
      <c r="AA49" t="s">
        <v>317</v>
      </c>
      <c r="AC49">
        <f>0.25*12</f>
        <v>3</v>
      </c>
    </row>
    <row r="50" spans="1:29" x14ac:dyDescent="0.2">
      <c r="A50" s="1" t="s">
        <v>206</v>
      </c>
      <c r="B50" s="1">
        <v>3</v>
      </c>
      <c r="C50" t="s">
        <v>209</v>
      </c>
      <c r="D50" t="s">
        <v>28</v>
      </c>
      <c r="E50" t="s">
        <v>23</v>
      </c>
      <c r="F50" t="s">
        <v>24</v>
      </c>
      <c r="G50" t="s">
        <v>126</v>
      </c>
      <c r="H50" t="s">
        <v>25</v>
      </c>
      <c r="I50" t="s">
        <v>32</v>
      </c>
      <c r="J50" t="s">
        <v>25</v>
      </c>
      <c r="K50">
        <v>160</v>
      </c>
      <c r="L50">
        <v>160</v>
      </c>
      <c r="M50">
        <v>24.87</v>
      </c>
      <c r="R50" t="s">
        <v>210</v>
      </c>
      <c r="S50">
        <v>30</v>
      </c>
      <c r="T50" t="s">
        <v>33</v>
      </c>
      <c r="U50" t="s">
        <v>211</v>
      </c>
      <c r="W50" s="3" t="s">
        <v>215</v>
      </c>
      <c r="Z50" t="s">
        <v>213</v>
      </c>
    </row>
    <row r="51" spans="1:29" x14ac:dyDescent="0.2">
      <c r="A51" s="1" t="s">
        <v>206</v>
      </c>
      <c r="B51" s="1">
        <v>3</v>
      </c>
      <c r="C51" t="s">
        <v>27</v>
      </c>
      <c r="D51" t="s">
        <v>28</v>
      </c>
      <c r="E51" t="s">
        <v>23</v>
      </c>
      <c r="F51" t="s">
        <v>24</v>
      </c>
      <c r="G51" t="s">
        <v>31</v>
      </c>
      <c r="H51" t="s">
        <v>31</v>
      </c>
      <c r="I51" t="s">
        <v>152</v>
      </c>
      <c r="J51" t="s">
        <v>25</v>
      </c>
      <c r="K51">
        <v>144</v>
      </c>
      <c r="L51">
        <v>144</v>
      </c>
      <c r="M51">
        <v>32.83</v>
      </c>
      <c r="R51" t="s">
        <v>216</v>
      </c>
      <c r="S51">
        <v>30</v>
      </c>
      <c r="T51" t="s">
        <v>33</v>
      </c>
      <c r="U51" t="s">
        <v>211</v>
      </c>
      <c r="W51" s="3">
        <v>72</v>
      </c>
      <c r="Z51" t="s">
        <v>99</v>
      </c>
    </row>
    <row r="52" spans="1:29" x14ac:dyDescent="0.2">
      <c r="A52" s="1" t="s">
        <v>206</v>
      </c>
      <c r="B52" s="1">
        <v>4</v>
      </c>
      <c r="C52" t="s">
        <v>209</v>
      </c>
      <c r="D52" t="s">
        <v>28</v>
      </c>
      <c r="E52" t="s">
        <v>23</v>
      </c>
      <c r="F52" t="s">
        <v>24</v>
      </c>
      <c r="G52" t="s">
        <v>126</v>
      </c>
      <c r="H52" t="s">
        <v>25</v>
      </c>
      <c r="I52" t="s">
        <v>32</v>
      </c>
      <c r="J52" t="s">
        <v>25</v>
      </c>
      <c r="K52">
        <v>65</v>
      </c>
      <c r="L52">
        <v>65</v>
      </c>
      <c r="M52">
        <v>26.23</v>
      </c>
      <c r="R52" t="s">
        <v>217</v>
      </c>
      <c r="S52">
        <v>44</v>
      </c>
      <c r="T52" t="s">
        <v>33</v>
      </c>
      <c r="U52" t="s">
        <v>211</v>
      </c>
      <c r="W52" s="3" t="s">
        <v>218</v>
      </c>
      <c r="Z52" t="s">
        <v>213</v>
      </c>
    </row>
    <row r="53" spans="1:29" x14ac:dyDescent="0.2">
      <c r="A53" s="1" t="s">
        <v>206</v>
      </c>
      <c r="B53" s="1">
        <v>4</v>
      </c>
      <c r="C53" t="s">
        <v>27</v>
      </c>
      <c r="D53" t="s">
        <v>28</v>
      </c>
      <c r="E53" t="s">
        <v>23</v>
      </c>
      <c r="F53" t="s">
        <v>24</v>
      </c>
      <c r="G53" t="s">
        <v>31</v>
      </c>
      <c r="H53" t="s">
        <v>31</v>
      </c>
      <c r="I53" t="s">
        <v>152</v>
      </c>
      <c r="J53" t="s">
        <v>25</v>
      </c>
      <c r="K53">
        <v>51</v>
      </c>
      <c r="L53">
        <v>51</v>
      </c>
      <c r="M53">
        <v>35.25</v>
      </c>
      <c r="R53" t="s">
        <v>219</v>
      </c>
      <c r="S53">
        <v>44</v>
      </c>
      <c r="T53" t="s">
        <v>33</v>
      </c>
      <c r="U53" t="s">
        <v>211</v>
      </c>
      <c r="W53" s="3">
        <v>30.6</v>
      </c>
      <c r="Z53" t="s">
        <v>99</v>
      </c>
    </row>
    <row r="54" spans="1:29" x14ac:dyDescent="0.2">
      <c r="A54" s="1" t="s">
        <v>220</v>
      </c>
      <c r="B54" s="1">
        <v>1</v>
      </c>
      <c r="C54" t="s">
        <v>39</v>
      </c>
      <c r="E54" t="s">
        <v>131</v>
      </c>
      <c r="AA54" t="s">
        <v>221</v>
      </c>
    </row>
    <row r="55" spans="1:29" x14ac:dyDescent="0.2">
      <c r="A55" s="1" t="s">
        <v>222</v>
      </c>
      <c r="B55" s="1">
        <v>1</v>
      </c>
      <c r="C55" t="s">
        <v>27</v>
      </c>
      <c r="D55" t="s">
        <v>223</v>
      </c>
      <c r="E55" t="s">
        <v>23</v>
      </c>
      <c r="F55" t="s">
        <v>157</v>
      </c>
      <c r="G55" t="s">
        <v>224</v>
      </c>
      <c r="H55" t="s">
        <v>25</v>
      </c>
      <c r="I55" t="s">
        <v>32</v>
      </c>
      <c r="J55" t="s">
        <v>225</v>
      </c>
      <c r="K55">
        <v>68</v>
      </c>
      <c r="L55">
        <v>61</v>
      </c>
      <c r="O55">
        <v>0.7</v>
      </c>
      <c r="P55">
        <v>5</v>
      </c>
      <c r="Q55">
        <v>1</v>
      </c>
      <c r="R55" t="s">
        <v>226</v>
      </c>
      <c r="S55" t="s">
        <v>25</v>
      </c>
      <c r="T55" t="s">
        <v>227</v>
      </c>
      <c r="U55" t="s">
        <v>228</v>
      </c>
      <c r="V55">
        <v>30</v>
      </c>
      <c r="W55" t="s">
        <v>35</v>
      </c>
      <c r="Z55" t="s">
        <v>99</v>
      </c>
    </row>
    <row r="56" spans="1:29" x14ac:dyDescent="0.2">
      <c r="A56" s="1" t="s">
        <v>229</v>
      </c>
      <c r="B56" s="1">
        <v>1</v>
      </c>
      <c r="C56" t="s">
        <v>27</v>
      </c>
      <c r="D56" t="s">
        <v>33</v>
      </c>
      <c r="E56" t="s">
        <v>23</v>
      </c>
      <c r="F56" t="s">
        <v>64</v>
      </c>
      <c r="G56" t="s">
        <v>230</v>
      </c>
      <c r="H56" t="s">
        <v>25</v>
      </c>
      <c r="I56" t="s">
        <v>32</v>
      </c>
      <c r="J56" t="s">
        <v>25</v>
      </c>
      <c r="K56">
        <v>90</v>
      </c>
      <c r="L56">
        <v>90</v>
      </c>
      <c r="M56" t="s">
        <v>33</v>
      </c>
      <c r="Q56">
        <v>1</v>
      </c>
      <c r="R56" t="s">
        <v>231</v>
      </c>
      <c r="S56" t="s">
        <v>232</v>
      </c>
      <c r="T56" t="s">
        <v>33</v>
      </c>
      <c r="U56" t="s">
        <v>25</v>
      </c>
      <c r="V56" t="s">
        <v>25</v>
      </c>
      <c r="W56" t="s">
        <v>35</v>
      </c>
    </row>
    <row r="57" spans="1:29" x14ac:dyDescent="0.2">
      <c r="A57" s="1" t="s">
        <v>233</v>
      </c>
      <c r="B57" s="1">
        <v>1</v>
      </c>
      <c r="C57" t="s">
        <v>42</v>
      </c>
      <c r="D57" t="s">
        <v>234</v>
      </c>
      <c r="E57" s="3" t="s">
        <v>29</v>
      </c>
      <c r="F57" s="3" t="s">
        <v>312</v>
      </c>
      <c r="G57" t="s">
        <v>235</v>
      </c>
      <c r="H57" t="s">
        <v>25</v>
      </c>
      <c r="I57" t="s">
        <v>32</v>
      </c>
      <c r="J57" t="s">
        <v>25</v>
      </c>
      <c r="K57">
        <v>79</v>
      </c>
      <c r="L57">
        <v>48</v>
      </c>
      <c r="M57">
        <v>13.45</v>
      </c>
      <c r="Q57" s="3">
        <v>2</v>
      </c>
      <c r="R57" t="s">
        <v>33</v>
      </c>
      <c r="S57" t="s">
        <v>232</v>
      </c>
      <c r="T57" t="s">
        <v>33</v>
      </c>
      <c r="U57" t="s">
        <v>236</v>
      </c>
      <c r="V57" t="s">
        <v>25</v>
      </c>
      <c r="W57" t="s">
        <v>35</v>
      </c>
      <c r="Z57" t="s">
        <v>237</v>
      </c>
    </row>
    <row r="58" spans="1:29" x14ac:dyDescent="0.2">
      <c r="A58" s="1" t="s">
        <v>238</v>
      </c>
      <c r="B58" s="1" t="s">
        <v>116</v>
      </c>
      <c r="C58" t="s">
        <v>27</v>
      </c>
      <c r="D58" t="s">
        <v>28</v>
      </c>
      <c r="E58" t="s">
        <v>23</v>
      </c>
      <c r="F58" t="s">
        <v>24</v>
      </c>
      <c r="G58" t="s">
        <v>31</v>
      </c>
      <c r="H58" t="s">
        <v>31</v>
      </c>
      <c r="I58" t="s">
        <v>32</v>
      </c>
      <c r="J58" t="s">
        <v>25</v>
      </c>
      <c r="K58">
        <v>189</v>
      </c>
      <c r="L58">
        <v>110</v>
      </c>
      <c r="M58">
        <v>37.53</v>
      </c>
      <c r="Q58">
        <v>1</v>
      </c>
      <c r="R58" t="s">
        <v>239</v>
      </c>
      <c r="S58" t="s">
        <v>25</v>
      </c>
      <c r="T58" t="s">
        <v>33</v>
      </c>
      <c r="U58" t="s">
        <v>25</v>
      </c>
      <c r="V58" t="s">
        <v>25</v>
      </c>
      <c r="W58" t="s">
        <v>240</v>
      </c>
      <c r="Z58" t="s">
        <v>99</v>
      </c>
    </row>
    <row r="59" spans="1:29" x14ac:dyDescent="0.2">
      <c r="A59" s="1" t="s">
        <v>238</v>
      </c>
      <c r="B59" s="1" t="s">
        <v>122</v>
      </c>
      <c r="C59" t="s">
        <v>27</v>
      </c>
      <c r="D59" t="s">
        <v>28</v>
      </c>
      <c r="E59" t="s">
        <v>23</v>
      </c>
      <c r="F59" t="s">
        <v>24</v>
      </c>
      <c r="G59" t="s">
        <v>31</v>
      </c>
      <c r="H59" t="s">
        <v>31</v>
      </c>
      <c r="I59" t="s">
        <v>32</v>
      </c>
      <c r="J59" t="s">
        <v>25</v>
      </c>
      <c r="K59">
        <v>211</v>
      </c>
      <c r="L59">
        <v>123</v>
      </c>
      <c r="M59">
        <v>34.450000000000003</v>
      </c>
      <c r="Q59">
        <v>1</v>
      </c>
      <c r="R59" t="s">
        <v>239</v>
      </c>
      <c r="S59" t="s">
        <v>25</v>
      </c>
      <c r="T59" t="s">
        <v>33</v>
      </c>
      <c r="U59" t="s">
        <v>25</v>
      </c>
      <c r="V59" t="s">
        <v>25</v>
      </c>
      <c r="W59" t="s">
        <v>241</v>
      </c>
      <c r="Z59" t="s">
        <v>99</v>
      </c>
    </row>
    <row r="60" spans="1:29" x14ac:dyDescent="0.2">
      <c r="A60" s="1" t="s">
        <v>238</v>
      </c>
      <c r="B60" s="1" t="s">
        <v>26</v>
      </c>
      <c r="C60" t="s">
        <v>62</v>
      </c>
      <c r="D60" t="s">
        <v>33</v>
      </c>
      <c r="E60" t="s">
        <v>23</v>
      </c>
      <c r="F60" t="s">
        <v>24</v>
      </c>
      <c r="G60" t="s">
        <v>242</v>
      </c>
      <c r="H60" t="s">
        <v>25</v>
      </c>
      <c r="I60" t="s">
        <v>32</v>
      </c>
      <c r="J60" t="s">
        <v>25</v>
      </c>
      <c r="K60">
        <v>200</v>
      </c>
      <c r="L60">
        <v>200</v>
      </c>
      <c r="M60">
        <v>20.43</v>
      </c>
      <c r="Q60">
        <v>1</v>
      </c>
      <c r="R60" t="s">
        <v>243</v>
      </c>
      <c r="S60" t="s">
        <v>244</v>
      </c>
      <c r="T60" t="s">
        <v>33</v>
      </c>
      <c r="U60" t="s">
        <v>25</v>
      </c>
      <c r="V60" t="s">
        <v>25</v>
      </c>
      <c r="W60" t="s">
        <v>245</v>
      </c>
      <c r="Z60" t="s">
        <v>246</v>
      </c>
    </row>
    <row r="61" spans="1:29" x14ac:dyDescent="0.2">
      <c r="A61" s="1" t="s">
        <v>238</v>
      </c>
      <c r="B61" s="1" t="s">
        <v>36</v>
      </c>
      <c r="C61" t="s">
        <v>62</v>
      </c>
      <c r="D61" t="s">
        <v>33</v>
      </c>
      <c r="E61" t="s">
        <v>23</v>
      </c>
      <c r="F61" t="s">
        <v>24</v>
      </c>
      <c r="G61" t="s">
        <v>242</v>
      </c>
      <c r="H61" t="s">
        <v>25</v>
      </c>
      <c r="I61" t="s">
        <v>32</v>
      </c>
      <c r="J61" t="s">
        <v>25</v>
      </c>
      <c r="K61">
        <v>200</v>
      </c>
      <c r="L61">
        <v>200</v>
      </c>
      <c r="M61">
        <v>20.93</v>
      </c>
      <c r="Q61">
        <v>1</v>
      </c>
      <c r="R61" t="s">
        <v>243</v>
      </c>
      <c r="S61" t="s">
        <v>244</v>
      </c>
      <c r="T61" t="s">
        <v>33</v>
      </c>
      <c r="U61" t="s">
        <v>25</v>
      </c>
      <c r="V61" t="s">
        <v>25</v>
      </c>
      <c r="W61" t="s">
        <v>245</v>
      </c>
      <c r="Z61" t="s">
        <v>246</v>
      </c>
    </row>
    <row r="62" spans="1:29" x14ac:dyDescent="0.2">
      <c r="A62" s="1" t="s">
        <v>238</v>
      </c>
      <c r="B62" s="1" t="s">
        <v>247</v>
      </c>
      <c r="C62" t="s">
        <v>39</v>
      </c>
      <c r="D62" t="s">
        <v>28</v>
      </c>
      <c r="E62" t="s">
        <v>23</v>
      </c>
      <c r="F62" t="s">
        <v>24</v>
      </c>
      <c r="G62" t="s">
        <v>40</v>
      </c>
      <c r="H62" t="s">
        <v>40</v>
      </c>
      <c r="I62" t="s">
        <v>32</v>
      </c>
      <c r="J62" t="s">
        <v>25</v>
      </c>
      <c r="K62">
        <v>403</v>
      </c>
      <c r="L62">
        <v>356</v>
      </c>
      <c r="M62">
        <v>37.5</v>
      </c>
      <c r="Q62">
        <v>1</v>
      </c>
      <c r="R62">
        <v>1</v>
      </c>
      <c r="S62" t="s">
        <v>248</v>
      </c>
      <c r="T62" t="s">
        <v>33</v>
      </c>
      <c r="U62" t="s">
        <v>25</v>
      </c>
      <c r="V62" t="s">
        <v>25</v>
      </c>
      <c r="W62">
        <v>403</v>
      </c>
      <c r="Z62" t="s">
        <v>178</v>
      </c>
    </row>
    <row r="63" spans="1:29" x14ac:dyDescent="0.2">
      <c r="A63" s="1" t="s">
        <v>238</v>
      </c>
      <c r="B63" s="1" t="s">
        <v>249</v>
      </c>
      <c r="C63" t="s">
        <v>39</v>
      </c>
      <c r="D63" t="s">
        <v>28</v>
      </c>
      <c r="E63" t="s">
        <v>23</v>
      </c>
      <c r="F63" t="s">
        <v>24</v>
      </c>
      <c r="G63" t="s">
        <v>40</v>
      </c>
      <c r="H63" t="s">
        <v>40</v>
      </c>
      <c r="I63" t="s">
        <v>32</v>
      </c>
      <c r="J63" t="s">
        <v>25</v>
      </c>
      <c r="K63">
        <v>401</v>
      </c>
      <c r="L63">
        <v>337</v>
      </c>
      <c r="M63">
        <v>39.47</v>
      </c>
      <c r="Q63">
        <v>1</v>
      </c>
      <c r="R63">
        <v>1</v>
      </c>
      <c r="S63" t="s">
        <v>248</v>
      </c>
      <c r="T63" t="s">
        <v>33</v>
      </c>
      <c r="U63" t="s">
        <v>25</v>
      </c>
      <c r="V63" t="s">
        <v>25</v>
      </c>
      <c r="W63">
        <v>401</v>
      </c>
      <c r="Z63" t="s">
        <v>178</v>
      </c>
    </row>
    <row r="64" spans="1:29" x14ac:dyDescent="0.2">
      <c r="A64" s="1" t="s">
        <v>250</v>
      </c>
      <c r="B64" s="1">
        <v>1</v>
      </c>
      <c r="E64" t="s">
        <v>251</v>
      </c>
      <c r="AA64" t="s">
        <v>221</v>
      </c>
    </row>
    <row r="65" spans="1:27" x14ac:dyDescent="0.2">
      <c r="A65" s="1" t="s">
        <v>252</v>
      </c>
      <c r="B65" s="1">
        <v>1</v>
      </c>
      <c r="C65" t="s">
        <v>27</v>
      </c>
      <c r="D65" t="s">
        <v>33</v>
      </c>
      <c r="E65" t="s">
        <v>29</v>
      </c>
      <c r="F65" t="s">
        <v>253</v>
      </c>
      <c r="G65" t="s">
        <v>254</v>
      </c>
      <c r="H65" t="s">
        <v>25</v>
      </c>
      <c r="I65" t="s">
        <v>32</v>
      </c>
      <c r="J65" t="s">
        <v>25</v>
      </c>
      <c r="K65">
        <v>69</v>
      </c>
      <c r="L65">
        <v>68</v>
      </c>
      <c r="M65" t="s">
        <v>255</v>
      </c>
      <c r="Q65">
        <v>1</v>
      </c>
      <c r="R65">
        <v>25</v>
      </c>
      <c r="S65" t="s">
        <v>25</v>
      </c>
      <c r="T65" t="s">
        <v>256</v>
      </c>
      <c r="U65" t="s">
        <v>25</v>
      </c>
      <c r="V65" t="s">
        <v>25</v>
      </c>
      <c r="W65">
        <v>1725</v>
      </c>
      <c r="Z65" t="s">
        <v>99</v>
      </c>
      <c r="AA65">
        <f>K65*R65</f>
        <v>1725</v>
      </c>
    </row>
    <row r="66" spans="1:27" x14ac:dyDescent="0.2">
      <c r="A66" s="1" t="s">
        <v>257</v>
      </c>
      <c r="B66" s="1">
        <v>1</v>
      </c>
      <c r="C66" t="s">
        <v>27</v>
      </c>
      <c r="D66" t="s">
        <v>33</v>
      </c>
      <c r="E66" t="s">
        <v>29</v>
      </c>
      <c r="F66" t="s">
        <v>81</v>
      </c>
      <c r="G66" t="s">
        <v>258</v>
      </c>
      <c r="H66" t="s">
        <v>25</v>
      </c>
      <c r="I66" t="s">
        <v>32</v>
      </c>
      <c r="J66" t="s">
        <v>25</v>
      </c>
      <c r="K66">
        <v>776</v>
      </c>
      <c r="L66">
        <v>653</v>
      </c>
      <c r="M66">
        <v>38</v>
      </c>
      <c r="Q66">
        <v>1</v>
      </c>
      <c r="R66" t="s">
        <v>33</v>
      </c>
      <c r="S66" t="s">
        <v>259</v>
      </c>
      <c r="T66" t="s">
        <v>33</v>
      </c>
      <c r="U66" t="s">
        <v>25</v>
      </c>
      <c r="V66" t="s">
        <v>25</v>
      </c>
      <c r="W66" t="s">
        <v>35</v>
      </c>
    </row>
    <row r="67" spans="1:27" x14ac:dyDescent="0.2">
      <c r="A67" s="1" t="s">
        <v>260</v>
      </c>
      <c r="B67" s="1">
        <v>1</v>
      </c>
      <c r="C67" t="s">
        <v>27</v>
      </c>
      <c r="D67" t="s">
        <v>261</v>
      </c>
      <c r="E67" t="s">
        <v>23</v>
      </c>
      <c r="F67" t="s">
        <v>64</v>
      </c>
      <c r="G67" t="s">
        <v>262</v>
      </c>
      <c r="H67" t="s">
        <v>25</v>
      </c>
      <c r="I67" t="s">
        <v>32</v>
      </c>
      <c r="J67" t="s">
        <v>263</v>
      </c>
      <c r="K67">
        <v>18</v>
      </c>
      <c r="L67">
        <v>18</v>
      </c>
      <c r="M67">
        <v>77</v>
      </c>
      <c r="Q67">
        <v>1</v>
      </c>
      <c r="R67" t="s">
        <v>33</v>
      </c>
      <c r="S67" t="s">
        <v>33</v>
      </c>
      <c r="T67" t="s">
        <v>33</v>
      </c>
      <c r="U67" t="s">
        <v>264</v>
      </c>
      <c r="V67" t="s">
        <v>33</v>
      </c>
      <c r="W67" t="s">
        <v>35</v>
      </c>
    </row>
    <row r="68" spans="1:27" x14ac:dyDescent="0.2">
      <c r="A68" s="1" t="s">
        <v>260</v>
      </c>
      <c r="B68" s="1">
        <v>1</v>
      </c>
      <c r="C68" t="s">
        <v>27</v>
      </c>
      <c r="D68" t="s">
        <v>261</v>
      </c>
      <c r="E68" t="s">
        <v>23</v>
      </c>
      <c r="F68" t="s">
        <v>64</v>
      </c>
      <c r="G68" t="s">
        <v>265</v>
      </c>
      <c r="H68" t="s">
        <v>25</v>
      </c>
      <c r="I68" t="s">
        <v>152</v>
      </c>
      <c r="J68" t="s">
        <v>263</v>
      </c>
      <c r="K68">
        <v>47</v>
      </c>
      <c r="L68">
        <v>18</v>
      </c>
      <c r="M68">
        <v>19.7</v>
      </c>
      <c r="Q68">
        <v>1</v>
      </c>
      <c r="R68" t="s">
        <v>33</v>
      </c>
      <c r="S68" t="s">
        <v>33</v>
      </c>
      <c r="T68" t="s">
        <v>33</v>
      </c>
      <c r="U68" t="s">
        <v>264</v>
      </c>
      <c r="V68" t="s">
        <v>33</v>
      </c>
      <c r="W68" t="s">
        <v>35</v>
      </c>
    </row>
    <row r="69" spans="1:27" x14ac:dyDescent="0.2">
      <c r="A69" s="1" t="s">
        <v>266</v>
      </c>
      <c r="B69" s="1">
        <v>1</v>
      </c>
      <c r="C69" t="s">
        <v>39</v>
      </c>
      <c r="D69" t="s">
        <v>267</v>
      </c>
      <c r="E69" t="s">
        <v>131</v>
      </c>
      <c r="G69" t="s">
        <v>268</v>
      </c>
      <c r="H69" t="s">
        <v>25</v>
      </c>
      <c r="I69" t="s">
        <v>32</v>
      </c>
      <c r="J69" t="s">
        <v>25</v>
      </c>
      <c r="K69">
        <v>1165</v>
      </c>
      <c r="L69">
        <v>315</v>
      </c>
      <c r="M69">
        <v>12.65</v>
      </c>
      <c r="Q69">
        <v>3</v>
      </c>
      <c r="R69" t="s">
        <v>33</v>
      </c>
      <c r="S69" t="s">
        <v>33</v>
      </c>
      <c r="T69" t="s">
        <v>269</v>
      </c>
      <c r="U69" t="s">
        <v>25</v>
      </c>
      <c r="V69" t="s">
        <v>25</v>
      </c>
      <c r="W69" t="s">
        <v>35</v>
      </c>
      <c r="Z69" t="s">
        <v>178</v>
      </c>
    </row>
    <row r="70" spans="1:27" x14ac:dyDescent="0.2">
      <c r="A70" s="1" t="s">
        <v>270</v>
      </c>
      <c r="B70" s="1">
        <v>1</v>
      </c>
      <c r="C70" t="s">
        <v>62</v>
      </c>
      <c r="D70" t="s">
        <v>271</v>
      </c>
      <c r="E70" t="s">
        <v>23</v>
      </c>
      <c r="F70" t="s">
        <v>58</v>
      </c>
      <c r="G70" t="s">
        <v>272</v>
      </c>
      <c r="H70" t="s">
        <v>25</v>
      </c>
      <c r="I70" t="s">
        <v>32</v>
      </c>
      <c r="J70" t="s">
        <v>25</v>
      </c>
      <c r="K70">
        <v>23</v>
      </c>
      <c r="L70">
        <v>17</v>
      </c>
      <c r="M70">
        <v>20.5</v>
      </c>
      <c r="Q70">
        <v>1</v>
      </c>
      <c r="R70" t="s">
        <v>33</v>
      </c>
      <c r="S70" t="s">
        <v>25</v>
      </c>
      <c r="T70" t="s">
        <v>33</v>
      </c>
      <c r="U70" t="s">
        <v>273</v>
      </c>
      <c r="W70" t="s">
        <v>35</v>
      </c>
    </row>
    <row r="71" spans="1:27" x14ac:dyDescent="0.2">
      <c r="A71" s="1" t="s">
        <v>270</v>
      </c>
      <c r="B71" s="1">
        <v>2</v>
      </c>
      <c r="C71" t="s">
        <v>62</v>
      </c>
      <c r="D71" t="s">
        <v>271</v>
      </c>
      <c r="E71" t="s">
        <v>23</v>
      </c>
      <c r="F71" t="s">
        <v>58</v>
      </c>
      <c r="G71" t="s">
        <v>272</v>
      </c>
      <c r="H71" t="s">
        <v>25</v>
      </c>
      <c r="I71" t="s">
        <v>32</v>
      </c>
      <c r="J71" t="s">
        <v>25</v>
      </c>
      <c r="K71">
        <v>12</v>
      </c>
      <c r="L71">
        <v>10</v>
      </c>
      <c r="M71">
        <v>23.1</v>
      </c>
      <c r="Q71">
        <v>1</v>
      </c>
      <c r="R71" t="s">
        <v>33</v>
      </c>
      <c r="S71" t="s">
        <v>25</v>
      </c>
      <c r="T71" t="s">
        <v>274</v>
      </c>
      <c r="U71" t="s">
        <v>273</v>
      </c>
      <c r="W71" t="s">
        <v>35</v>
      </c>
    </row>
    <row r="72" spans="1:27" x14ac:dyDescent="0.2">
      <c r="A72" s="1" t="s">
        <v>275</v>
      </c>
      <c r="B72" s="1">
        <v>1</v>
      </c>
      <c r="E72" t="s">
        <v>131</v>
      </c>
      <c r="AA72" t="s">
        <v>221</v>
      </c>
    </row>
    <row r="73" spans="1:27" x14ac:dyDescent="0.2">
      <c r="A73" s="1" t="s">
        <v>276</v>
      </c>
      <c r="B73" s="1">
        <v>1</v>
      </c>
      <c r="E73" t="s">
        <v>277</v>
      </c>
      <c r="K73">
        <v>1</v>
      </c>
      <c r="M73" s="3">
        <v>68</v>
      </c>
      <c r="AA73" t="s">
        <v>278</v>
      </c>
    </row>
    <row r="74" spans="1:27" x14ac:dyDescent="0.2">
      <c r="A74" s="1" t="s">
        <v>276</v>
      </c>
      <c r="B74" s="1">
        <v>2</v>
      </c>
      <c r="E74" t="s">
        <v>277</v>
      </c>
      <c r="K74">
        <v>1</v>
      </c>
      <c r="M74">
        <v>53</v>
      </c>
      <c r="AA74" t="s">
        <v>278</v>
      </c>
    </row>
    <row r="75" spans="1:27" x14ac:dyDescent="0.2">
      <c r="A75" s="1" t="s">
        <v>279</v>
      </c>
      <c r="B75" s="1">
        <v>1</v>
      </c>
      <c r="E75" t="s">
        <v>251</v>
      </c>
      <c r="AA75" t="s">
        <v>278</v>
      </c>
    </row>
    <row r="76" spans="1:27" x14ac:dyDescent="0.2">
      <c r="A76" s="1" t="s">
        <v>280</v>
      </c>
      <c r="B76" s="1">
        <v>1</v>
      </c>
      <c r="C76" t="s">
        <v>329</v>
      </c>
      <c r="D76" t="s">
        <v>28</v>
      </c>
      <c r="E76" t="s">
        <v>29</v>
      </c>
      <c r="F76" t="s">
        <v>81</v>
      </c>
      <c r="G76" t="s">
        <v>40</v>
      </c>
      <c r="H76" t="s">
        <v>40</v>
      </c>
      <c r="I76" t="s">
        <v>32</v>
      </c>
      <c r="J76" t="s">
        <v>25</v>
      </c>
      <c r="K76">
        <v>549</v>
      </c>
      <c r="L76">
        <v>514</v>
      </c>
      <c r="M76">
        <v>41.33</v>
      </c>
      <c r="Q76">
        <v>2</v>
      </c>
      <c r="R76" t="s">
        <v>33</v>
      </c>
      <c r="S76" t="s">
        <v>281</v>
      </c>
      <c r="T76" t="s">
        <v>33</v>
      </c>
      <c r="U76" t="s">
        <v>282</v>
      </c>
      <c r="W76" t="s">
        <v>35</v>
      </c>
    </row>
    <row r="77" spans="1:27" x14ac:dyDescent="0.2">
      <c r="A77" s="1" t="s">
        <v>283</v>
      </c>
      <c r="B77" s="1">
        <v>1</v>
      </c>
      <c r="C77" t="s">
        <v>27</v>
      </c>
      <c r="D77" t="s">
        <v>284</v>
      </c>
      <c r="E77" t="s">
        <v>29</v>
      </c>
      <c r="F77" t="s">
        <v>81</v>
      </c>
      <c r="G77" t="s">
        <v>285</v>
      </c>
      <c r="H77" t="s">
        <v>25</v>
      </c>
      <c r="I77" t="s">
        <v>32</v>
      </c>
      <c r="J77" t="s">
        <v>25</v>
      </c>
      <c r="K77">
        <v>452</v>
      </c>
      <c r="L77" s="3">
        <v>184</v>
      </c>
      <c r="M77">
        <v>17.899999999999999</v>
      </c>
      <c r="Q77">
        <v>2</v>
      </c>
      <c r="R77" t="s">
        <v>286</v>
      </c>
      <c r="S77" t="s">
        <v>33</v>
      </c>
      <c r="T77" t="s">
        <v>33</v>
      </c>
      <c r="U77" t="s">
        <v>25</v>
      </c>
      <c r="V77" t="s">
        <v>25</v>
      </c>
      <c r="W77">
        <v>1840</v>
      </c>
      <c r="Z77" t="s">
        <v>99</v>
      </c>
      <c r="AA77" t="s">
        <v>333</v>
      </c>
    </row>
    <row r="78" spans="1:27" x14ac:dyDescent="0.2">
      <c r="A78" s="1" t="s">
        <v>287</v>
      </c>
      <c r="B78" s="1">
        <v>1</v>
      </c>
      <c r="C78" t="s">
        <v>27</v>
      </c>
      <c r="D78" t="s">
        <v>33</v>
      </c>
      <c r="E78" t="s">
        <v>23</v>
      </c>
      <c r="F78" t="s">
        <v>24</v>
      </c>
      <c r="G78" t="s">
        <v>288</v>
      </c>
      <c r="H78" t="s">
        <v>25</v>
      </c>
      <c r="I78" t="s">
        <v>32</v>
      </c>
      <c r="J78" t="s">
        <v>25</v>
      </c>
      <c r="K78">
        <v>36</v>
      </c>
      <c r="L78">
        <v>36</v>
      </c>
      <c r="M78" t="s">
        <v>33</v>
      </c>
      <c r="Q78">
        <v>1</v>
      </c>
      <c r="R78" t="s">
        <v>35</v>
      </c>
      <c r="S78" t="s">
        <v>25</v>
      </c>
      <c r="T78" t="s">
        <v>33</v>
      </c>
      <c r="U78" t="s">
        <v>289</v>
      </c>
      <c r="V78" t="s">
        <v>25</v>
      </c>
      <c r="W78" t="s">
        <v>35</v>
      </c>
    </row>
    <row r="79" spans="1:27" x14ac:dyDescent="0.2">
      <c r="A79" s="1" t="s">
        <v>287</v>
      </c>
      <c r="B79" s="1">
        <v>1</v>
      </c>
      <c r="C79" t="s">
        <v>27</v>
      </c>
      <c r="D79" t="s">
        <v>33</v>
      </c>
      <c r="E79" t="s">
        <v>23</v>
      </c>
      <c r="F79" t="s">
        <v>24</v>
      </c>
      <c r="G79" t="s">
        <v>33</v>
      </c>
      <c r="H79" t="s">
        <v>25</v>
      </c>
      <c r="I79" t="s">
        <v>152</v>
      </c>
      <c r="J79" t="s">
        <v>25</v>
      </c>
      <c r="K79">
        <v>243</v>
      </c>
      <c r="L79">
        <v>243</v>
      </c>
      <c r="M79">
        <v>26.1</v>
      </c>
      <c r="Q79">
        <v>1</v>
      </c>
      <c r="R79" t="s">
        <v>290</v>
      </c>
      <c r="S79" t="s">
        <v>33</v>
      </c>
      <c r="T79" t="s">
        <v>291</v>
      </c>
      <c r="U79" t="s">
        <v>33</v>
      </c>
      <c r="V79" t="s">
        <v>25</v>
      </c>
      <c r="W79">
        <v>3159</v>
      </c>
      <c r="Z79" t="s">
        <v>99</v>
      </c>
    </row>
    <row r="80" spans="1:27" x14ac:dyDescent="0.2">
      <c r="A80" s="1" t="s">
        <v>287</v>
      </c>
      <c r="B80" s="1">
        <v>2</v>
      </c>
      <c r="C80" t="s">
        <v>27</v>
      </c>
      <c r="D80" t="s">
        <v>33</v>
      </c>
      <c r="E80" t="s">
        <v>23</v>
      </c>
      <c r="F80" t="s">
        <v>24</v>
      </c>
      <c r="G80" t="s">
        <v>292</v>
      </c>
      <c r="H80" t="s">
        <v>25</v>
      </c>
      <c r="I80" t="s">
        <v>32</v>
      </c>
      <c r="J80" t="s">
        <v>25</v>
      </c>
      <c r="K80">
        <v>93</v>
      </c>
      <c r="L80">
        <v>93</v>
      </c>
      <c r="M80" t="s">
        <v>33</v>
      </c>
      <c r="Q80">
        <v>1</v>
      </c>
      <c r="R80" t="s">
        <v>35</v>
      </c>
      <c r="S80" t="s">
        <v>293</v>
      </c>
      <c r="T80" t="s">
        <v>33</v>
      </c>
      <c r="U80" t="s">
        <v>289</v>
      </c>
      <c r="V80" t="s">
        <v>25</v>
      </c>
      <c r="W80" t="s">
        <v>35</v>
      </c>
    </row>
    <row r="81" spans="1:27" x14ac:dyDescent="0.2">
      <c r="A81" s="1" t="s">
        <v>287</v>
      </c>
      <c r="B81" s="1">
        <v>2</v>
      </c>
      <c r="C81" t="s">
        <v>27</v>
      </c>
      <c r="D81" t="s">
        <v>28</v>
      </c>
      <c r="E81" t="s">
        <v>23</v>
      </c>
      <c r="F81" t="s">
        <v>24</v>
      </c>
      <c r="G81" t="s">
        <v>31</v>
      </c>
      <c r="H81" t="s">
        <v>31</v>
      </c>
      <c r="I81" t="s">
        <v>152</v>
      </c>
      <c r="J81" t="s">
        <v>25</v>
      </c>
      <c r="K81">
        <v>465</v>
      </c>
      <c r="L81">
        <v>465</v>
      </c>
      <c r="M81">
        <v>30.1</v>
      </c>
      <c r="Q81">
        <v>1</v>
      </c>
      <c r="R81" t="s">
        <v>294</v>
      </c>
      <c r="S81">
        <v>8</v>
      </c>
      <c r="T81" t="s">
        <v>291</v>
      </c>
      <c r="U81" t="s">
        <v>25</v>
      </c>
      <c r="V81" t="s">
        <v>25</v>
      </c>
      <c r="W81">
        <v>372</v>
      </c>
      <c r="Z81" t="s">
        <v>99</v>
      </c>
    </row>
    <row r="82" spans="1:27" x14ac:dyDescent="0.2">
      <c r="A82" s="1" t="s">
        <v>287</v>
      </c>
      <c r="B82" s="1">
        <v>3</v>
      </c>
      <c r="C82" t="s">
        <v>27</v>
      </c>
      <c r="D82" t="s">
        <v>33</v>
      </c>
      <c r="E82" t="s">
        <v>23</v>
      </c>
      <c r="F82" t="s">
        <v>24</v>
      </c>
      <c r="G82" t="s">
        <v>295</v>
      </c>
      <c r="H82" t="s">
        <v>25</v>
      </c>
      <c r="I82" t="s">
        <v>32</v>
      </c>
      <c r="J82" t="s">
        <v>25</v>
      </c>
      <c r="K82" s="3">
        <v>118</v>
      </c>
      <c r="L82" s="3">
        <v>115</v>
      </c>
      <c r="M82" t="s">
        <v>33</v>
      </c>
      <c r="Q82">
        <v>1</v>
      </c>
      <c r="R82" t="s">
        <v>35</v>
      </c>
      <c r="S82" t="s">
        <v>293</v>
      </c>
      <c r="T82" t="s">
        <v>33</v>
      </c>
      <c r="U82" t="s">
        <v>289</v>
      </c>
      <c r="V82" t="s">
        <v>25</v>
      </c>
      <c r="W82" t="s">
        <v>35</v>
      </c>
    </row>
    <row r="83" spans="1:27" x14ac:dyDescent="0.2">
      <c r="A83" s="1" t="s">
        <v>287</v>
      </c>
      <c r="B83" s="1">
        <v>3</v>
      </c>
      <c r="C83" t="s">
        <v>27</v>
      </c>
      <c r="D83" t="s">
        <v>28</v>
      </c>
      <c r="E83" t="s">
        <v>23</v>
      </c>
      <c r="F83" t="s">
        <v>24</v>
      </c>
      <c r="G83" t="s">
        <v>31</v>
      </c>
      <c r="H83" t="s">
        <v>31</v>
      </c>
      <c r="I83" t="s">
        <v>152</v>
      </c>
      <c r="J83" t="s">
        <v>25</v>
      </c>
      <c r="K83">
        <v>861</v>
      </c>
      <c r="L83">
        <v>861</v>
      </c>
      <c r="M83">
        <v>33</v>
      </c>
      <c r="Q83">
        <v>1</v>
      </c>
      <c r="R83" t="s">
        <v>296</v>
      </c>
      <c r="S83">
        <v>8</v>
      </c>
      <c r="T83" t="s">
        <v>291</v>
      </c>
      <c r="U83" t="s">
        <v>25</v>
      </c>
      <c r="V83" t="s">
        <v>25</v>
      </c>
      <c r="W83">
        <v>1291.5</v>
      </c>
      <c r="Z83" t="s">
        <v>99</v>
      </c>
    </row>
    <row r="84" spans="1:27" x14ac:dyDescent="0.2">
      <c r="A84" s="1" t="s">
        <v>297</v>
      </c>
      <c r="B84" s="1">
        <v>1</v>
      </c>
      <c r="C84" t="s">
        <v>27</v>
      </c>
      <c r="D84" t="s">
        <v>298</v>
      </c>
      <c r="E84" t="s">
        <v>29</v>
      </c>
      <c r="F84" s="3" t="s">
        <v>312</v>
      </c>
      <c r="G84" t="s">
        <v>299</v>
      </c>
      <c r="H84" t="s">
        <v>25</v>
      </c>
      <c r="I84" t="s">
        <v>300</v>
      </c>
      <c r="J84" t="s">
        <v>25</v>
      </c>
      <c r="K84">
        <v>1752</v>
      </c>
      <c r="L84">
        <v>199</v>
      </c>
      <c r="M84">
        <v>3</v>
      </c>
      <c r="Q84">
        <v>4</v>
      </c>
      <c r="R84" t="s">
        <v>35</v>
      </c>
      <c r="T84" t="s">
        <v>33</v>
      </c>
      <c r="U84" t="s">
        <v>33</v>
      </c>
      <c r="V84" t="s">
        <v>33</v>
      </c>
      <c r="W84" t="s">
        <v>35</v>
      </c>
      <c r="Z84" t="s">
        <v>99</v>
      </c>
      <c r="AA84" t="s">
        <v>221</v>
      </c>
    </row>
    <row r="85" spans="1:27" x14ac:dyDescent="0.2">
      <c r="A85" s="1" t="s">
        <v>301</v>
      </c>
      <c r="B85" s="1">
        <v>1</v>
      </c>
      <c r="C85" t="s">
        <v>302</v>
      </c>
      <c r="D85" t="s">
        <v>303</v>
      </c>
      <c r="E85" t="s">
        <v>29</v>
      </c>
      <c r="F85" s="3" t="s">
        <v>312</v>
      </c>
      <c r="G85" t="s">
        <v>304</v>
      </c>
      <c r="H85" t="s">
        <v>25</v>
      </c>
      <c r="I85" t="s">
        <v>32</v>
      </c>
      <c r="J85" t="s">
        <v>25</v>
      </c>
      <c r="K85" t="s">
        <v>305</v>
      </c>
      <c r="L85" t="s">
        <v>305</v>
      </c>
      <c r="M85" t="s">
        <v>90</v>
      </c>
      <c r="Q85">
        <v>3</v>
      </c>
      <c r="R85" t="s">
        <v>127</v>
      </c>
      <c r="S85" t="s">
        <v>306</v>
      </c>
      <c r="T85" t="s">
        <v>35</v>
      </c>
      <c r="U85" t="s">
        <v>25</v>
      </c>
      <c r="V85" t="s">
        <v>25</v>
      </c>
      <c r="W85" t="s">
        <v>35</v>
      </c>
    </row>
    <row r="86" spans="1:27" x14ac:dyDescent="0.2">
      <c r="A86" s="1" t="s">
        <v>307</v>
      </c>
      <c r="B86" s="1">
        <v>1</v>
      </c>
      <c r="C86" t="s">
        <v>27</v>
      </c>
      <c r="D86" t="s">
        <v>308</v>
      </c>
      <c r="E86" t="s">
        <v>23</v>
      </c>
      <c r="F86" t="s">
        <v>64</v>
      </c>
      <c r="G86" t="s">
        <v>309</v>
      </c>
      <c r="H86" t="s">
        <v>25</v>
      </c>
      <c r="I86" t="s">
        <v>32</v>
      </c>
      <c r="J86" t="s">
        <v>25</v>
      </c>
      <c r="K86">
        <v>30</v>
      </c>
      <c r="L86">
        <v>30</v>
      </c>
      <c r="M86">
        <v>23.6</v>
      </c>
      <c r="Q86">
        <v>1</v>
      </c>
      <c r="R86" t="s">
        <v>344</v>
      </c>
      <c r="S86" t="s">
        <v>25</v>
      </c>
      <c r="T86" t="s">
        <v>35</v>
      </c>
      <c r="U86" t="s">
        <v>33</v>
      </c>
      <c r="V86" t="s">
        <v>33</v>
      </c>
      <c r="W86" t="s">
        <v>315</v>
      </c>
      <c r="X86">
        <v>303</v>
      </c>
      <c r="Y86">
        <v>450</v>
      </c>
      <c r="Z86" t="s">
        <v>99</v>
      </c>
    </row>
    <row r="87" spans="1:27" x14ac:dyDescent="0.2">
      <c r="A87" s="1" t="s">
        <v>307</v>
      </c>
      <c r="B87" s="1">
        <v>2</v>
      </c>
      <c r="C87" t="s">
        <v>27</v>
      </c>
      <c r="D87" t="s">
        <v>308</v>
      </c>
      <c r="E87" t="s">
        <v>23</v>
      </c>
      <c r="F87" t="s">
        <v>64</v>
      </c>
      <c r="G87" t="s">
        <v>309</v>
      </c>
      <c r="H87" t="s">
        <v>25</v>
      </c>
      <c r="I87" t="s">
        <v>32</v>
      </c>
      <c r="J87" t="s">
        <v>25</v>
      </c>
      <c r="K87">
        <v>40</v>
      </c>
      <c r="L87">
        <v>32</v>
      </c>
      <c r="M87">
        <v>23.6</v>
      </c>
      <c r="Q87">
        <v>1</v>
      </c>
      <c r="R87" t="s">
        <v>310</v>
      </c>
      <c r="S87" t="s">
        <v>25</v>
      </c>
      <c r="T87" t="s">
        <v>35</v>
      </c>
      <c r="U87" t="s">
        <v>33</v>
      </c>
      <c r="V87" t="s">
        <v>33</v>
      </c>
      <c r="W87" t="s">
        <v>315</v>
      </c>
      <c r="X87">
        <v>404</v>
      </c>
      <c r="Y87">
        <v>600</v>
      </c>
      <c r="Z87" t="s">
        <v>99</v>
      </c>
    </row>
    <row r="88" spans="1:27" x14ac:dyDescent="0.2">
      <c r="A88" s="1" t="s">
        <v>307</v>
      </c>
      <c r="B88" s="1">
        <v>3</v>
      </c>
      <c r="C88" t="s">
        <v>27</v>
      </c>
      <c r="D88" t="s">
        <v>308</v>
      </c>
      <c r="E88" t="s">
        <v>23</v>
      </c>
      <c r="F88" t="s">
        <v>64</v>
      </c>
      <c r="G88" t="s">
        <v>309</v>
      </c>
      <c r="H88" t="s">
        <v>25</v>
      </c>
      <c r="I88" t="s">
        <v>32</v>
      </c>
      <c r="J88" t="s">
        <v>25</v>
      </c>
      <c r="K88">
        <v>31</v>
      </c>
      <c r="L88">
        <v>31</v>
      </c>
      <c r="M88">
        <v>22.9</v>
      </c>
      <c r="Q88">
        <v>1</v>
      </c>
      <c r="R88" t="s">
        <v>310</v>
      </c>
      <c r="S88" t="s">
        <v>25</v>
      </c>
      <c r="T88" t="s">
        <v>35</v>
      </c>
      <c r="U88" t="s">
        <v>33</v>
      </c>
      <c r="V88" t="s">
        <v>33</v>
      </c>
      <c r="W88" t="s">
        <v>315</v>
      </c>
      <c r="X88">
        <v>313.10000000000002</v>
      </c>
      <c r="Y88">
        <v>465</v>
      </c>
      <c r="Z88" t="s">
        <v>99</v>
      </c>
    </row>
    <row r="89" spans="1:27" x14ac:dyDescent="0.2">
      <c r="A89" s="1" t="s">
        <v>307</v>
      </c>
      <c r="B89" s="1">
        <v>4</v>
      </c>
      <c r="C89" t="s">
        <v>27</v>
      </c>
      <c r="D89" t="s">
        <v>308</v>
      </c>
      <c r="E89" t="s">
        <v>23</v>
      </c>
      <c r="F89" t="s">
        <v>64</v>
      </c>
      <c r="G89" t="s">
        <v>309</v>
      </c>
      <c r="H89" t="s">
        <v>25</v>
      </c>
      <c r="I89" t="s">
        <v>32</v>
      </c>
      <c r="J89" t="s">
        <v>25</v>
      </c>
      <c r="K89" s="3">
        <v>38</v>
      </c>
      <c r="L89">
        <v>30</v>
      </c>
      <c r="M89">
        <v>23.9</v>
      </c>
      <c r="Q89">
        <v>1</v>
      </c>
      <c r="R89" t="s">
        <v>310</v>
      </c>
      <c r="S89" t="s">
        <v>25</v>
      </c>
      <c r="T89" t="s">
        <v>35</v>
      </c>
      <c r="U89" t="s">
        <v>33</v>
      </c>
      <c r="V89" t="s">
        <v>33</v>
      </c>
      <c r="W89" t="s">
        <v>315</v>
      </c>
      <c r="X89">
        <f>10.1*38</f>
        <v>383.8</v>
      </c>
      <c r="Y89">
        <f>15*38</f>
        <v>570</v>
      </c>
      <c r="Z89" t="s">
        <v>99</v>
      </c>
    </row>
    <row r="90" spans="1:27" x14ac:dyDescent="0.2">
      <c r="A90" s="1" t="s">
        <v>307</v>
      </c>
      <c r="B90" s="1">
        <v>5</v>
      </c>
      <c r="C90" t="s">
        <v>27</v>
      </c>
      <c r="D90" t="s">
        <v>28</v>
      </c>
      <c r="E90" t="s">
        <v>23</v>
      </c>
      <c r="F90" t="s">
        <v>64</v>
      </c>
      <c r="G90" t="s">
        <v>31</v>
      </c>
      <c r="H90" t="s">
        <v>31</v>
      </c>
      <c r="I90" t="s">
        <v>32</v>
      </c>
      <c r="J90" t="s">
        <v>25</v>
      </c>
      <c r="K90">
        <v>49</v>
      </c>
      <c r="L90">
        <v>45</v>
      </c>
      <c r="M90">
        <v>39.1</v>
      </c>
      <c r="Q90">
        <v>1</v>
      </c>
      <c r="R90" t="s">
        <v>311</v>
      </c>
      <c r="S90" t="s">
        <v>33</v>
      </c>
      <c r="T90" t="s">
        <v>35</v>
      </c>
      <c r="U90" t="s">
        <v>25</v>
      </c>
      <c r="V90" t="s">
        <v>25</v>
      </c>
      <c r="W90" t="s">
        <v>315</v>
      </c>
      <c r="X90">
        <v>343</v>
      </c>
      <c r="Y90">
        <v>441</v>
      </c>
      <c r="Z90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PilotingCoding_Hu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Chuan-Peng</dc:creator>
  <cp:lastModifiedBy>Hu Chuan-Peng</cp:lastModifiedBy>
  <dcterms:created xsi:type="dcterms:W3CDTF">2026-03-16T02:13:43Z</dcterms:created>
  <dcterms:modified xsi:type="dcterms:W3CDTF">2026-03-18T04:30:15Z</dcterms:modified>
</cp:coreProperties>
</file>